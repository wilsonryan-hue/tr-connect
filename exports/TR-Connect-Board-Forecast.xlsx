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Executive Summary" sheetId="2" state="visible" r:id="rId2"/>
    <sheet name="Quick BD Input" sheetId="3" state="visible" r:id="rId3"/>
    <sheet name="Pipeline Forecast" sheetId="4" state="visible" r:id="rId4"/>
    <sheet name="Stage Gate" sheetId="5" state="visible" r:id="rId5"/>
    <sheet name="Assumptions" sheetId="6" state="visible" r:id="rId6"/>
    <sheet name="Audit Log" sheetId="7" state="visible" r:id="rId7"/>
  </sheets>
  <definedNames>
    <definedName name="_xlnm.Print_Titles" localSheetId="0">'Cover'!$1:$2</definedName>
    <definedName name="_xlnm.Print_Titles" localSheetId="1">'Executive Summary'!$1:$4</definedName>
    <definedName name="_xlnm._FilterDatabase" localSheetId="2" hidden="1">'Quick BD Input'!$A$4:$R$54</definedName>
    <definedName name="_xlnm.Print_Titles" localSheetId="2">'Quick BD Input'!$1:$4</definedName>
    <definedName name="_xlnm.Print_Titles" localSheetId="3">'Pipeline Forecast'!$1:$4</definedName>
    <definedName name="_xlnm.Print_Titles" localSheetId="4">'Stage Gate'!$1:$7</definedName>
    <definedName name="_xlnm.Print_Titles" localSheetId="5">'Assumptions'!$1:$4</definedName>
    <definedName name="_xlnm.Print_Titles" localSheetId="6">'Audit Log'!$1:$3</definedName>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yyyy-mm-dd h:mm:ss"/>
    <numFmt numFmtId="167" formatCode="DD-MMM-YYYY"/>
    <numFmt numFmtId="168" formatCode="DD-MMM-YYYY HH:MM"/>
  </numFmts>
  <fonts count="17">
    <font>
      <name val="Calibri"/>
      <family val="2"/>
      <color theme="1"/>
      <sz val="11"/>
      <scheme val="minor"/>
    </font>
    <font>
      <name val="Calibri"/>
      <b val="1"/>
      <color rgb="00F3F0E6"/>
      <sz val="22"/>
    </font>
    <font>
      <name val="Calibri"/>
      <b val="1"/>
      <color rgb="00D4AF37"/>
      <sz val="14"/>
    </font>
    <font>
      <name val="Calibri"/>
      <b val="1"/>
      <color rgb="000A0A0A"/>
      <sz val="28"/>
    </font>
    <font>
      <name val="Calibri"/>
      <i val="1"/>
      <color rgb="009A9588"/>
      <sz val="9"/>
    </font>
    <font>
      <name val="Calibri"/>
      <b val="1"/>
      <color rgb="000A0A0A"/>
      <sz val="12"/>
    </font>
    <font>
      <name val="Calibri"/>
      <b val="1"/>
      <sz val="11"/>
    </font>
    <font>
      <name val="Calibri"/>
      <color rgb="00222222"/>
      <sz val="11"/>
    </font>
    <font>
      <name val="Calibri"/>
      <b val="1"/>
      <color rgb="00C45C4A"/>
      <sz val="9"/>
    </font>
    <font>
      <name val="Calibri"/>
      <b val="1"/>
      <color rgb="009A9588"/>
      <sz val="9"/>
    </font>
    <font>
      <name val="Calibri"/>
      <b val="1"/>
      <color rgb="000A0A0A"/>
      <sz val="18"/>
    </font>
    <font>
      <name val="Calibri"/>
      <i val="1"/>
      <color rgb="00F3F0E6"/>
      <sz val="9"/>
    </font>
    <font>
      <name val="Calibri"/>
      <b val="1"/>
      <color rgb="00F3F0E6"/>
      <sz val="10"/>
    </font>
    <font>
      <name val="Calibri"/>
      <b val="1"/>
      <color rgb="00D4AF37"/>
      <sz val="11"/>
    </font>
    <font>
      <name val="Calibri"/>
      <color rgb="00444444"/>
      <sz val="9"/>
    </font>
    <font>
      <name val="Calibri"/>
      <b val="1"/>
      <sz val="12"/>
    </font>
    <font>
      <name val="Calibri"/>
      <b val="1"/>
    </font>
  </fonts>
  <fills count="10">
    <fill>
      <patternFill/>
    </fill>
    <fill>
      <patternFill patternType="gray125"/>
    </fill>
    <fill>
      <patternFill patternType="solid">
        <fgColor rgb="000A0A0A"/>
      </patternFill>
    </fill>
    <fill>
      <patternFill patternType="solid">
        <fgColor rgb="00F7F5EF"/>
      </patternFill>
    </fill>
    <fill>
      <patternFill patternType="solid">
        <fgColor rgb="00F3F0E6"/>
      </patternFill>
    </fill>
    <fill>
      <patternFill patternType="solid">
        <fgColor rgb="001F1C16"/>
      </patternFill>
    </fill>
    <fill>
      <patternFill patternType="solid">
        <fgColor rgb="00EDE8D8"/>
      </patternFill>
    </fill>
    <fill>
      <patternFill patternType="solid">
        <fgColor rgb="00E8F0E6"/>
      </patternFill>
    </fill>
    <fill>
      <patternFill patternType="solid">
        <fgColor rgb="00FFFBEA"/>
      </patternFill>
    </fill>
    <fill>
      <patternFill patternType="solid">
        <fgColor rgb="00F0EDE3"/>
      </patternFill>
    </fill>
  </fills>
  <borders count="4">
    <border>
      <left/>
      <right/>
      <top/>
      <bottom/>
      <diagonal/>
    </border>
    <border>
      <bottom style="thick">
        <color rgb="00D4AF37"/>
      </bottom>
    </border>
    <border>
      <left style="thin">
        <color rgb="00D0CBBE"/>
      </left>
      <right style="thin">
        <color rgb="00D0CBBE"/>
      </right>
      <top style="thin">
        <color rgb="00D0CBBE"/>
      </top>
      <bottom style="thin">
        <color rgb="00D0CBBE"/>
      </bottom>
    </border>
    <border>
      <left/>
      <right/>
      <top/>
      <bottom style="thick">
        <color rgb="00D4AF37"/>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2" borderId="0" pivotButton="0" quotePrefix="0" xfId="0"/>
    <xf numFmtId="0" fontId="3" fillId="0" borderId="0" applyAlignment="1" pivotButton="0" quotePrefix="0" xfId="0">
      <alignment horizontal="left"/>
    </xf>
    <xf numFmtId="0" fontId="4" fillId="0" borderId="0" pivotButton="0" quotePrefix="0" xfId="0"/>
    <xf numFmtId="0" fontId="5" fillId="0" borderId="1" pivotButton="0" quotePrefix="0" xfId="0"/>
    <xf numFmtId="0" fontId="6" fillId="3" borderId="0" pivotButton="0" quotePrefix="0" xfId="0"/>
    <xf numFmtId="0" fontId="7" fillId="0" borderId="2" pivotButton="0" quotePrefix="0" xfId="0"/>
    <xf numFmtId="0" fontId="5" fillId="0" borderId="0" pivotButton="0" quotePrefix="0" xfId="0"/>
    <xf numFmtId="0" fontId="7" fillId="0" borderId="0" applyAlignment="1" pivotButton="0" quotePrefix="0" xfId="0">
      <alignment vertical="top" wrapText="1"/>
    </xf>
    <xf numFmtId="0" fontId="8" fillId="0" borderId="0" pivotButton="0" quotePrefix="0" xfId="0"/>
    <xf numFmtId="0" fontId="9" fillId="3" borderId="0" pivotButton="0" quotePrefix="0" xfId="0"/>
    <xf numFmtId="164" fontId="10" fillId="4" borderId="1" pivotButton="0" quotePrefix="0" xfId="0"/>
    <xf numFmtId="0" fontId="0" fillId="0" borderId="3" pivotButton="0" quotePrefix="0" xfId="0"/>
    <xf numFmtId="0" fontId="10" fillId="4" borderId="1" pivotButton="0" quotePrefix="0" xfId="0"/>
    <xf numFmtId="165" fontId="10" fillId="4" borderId="1" pivotButton="0" quotePrefix="0" xfId="0"/>
    <xf numFmtId="0" fontId="7" fillId="0" borderId="0" pivotButton="0" quotePrefix="0" xfId="0"/>
    <xf numFmtId="0" fontId="13" fillId="0" borderId="0" pivotButton="0" quotePrefix="0" xfId="0"/>
    <xf numFmtId="0" fontId="11" fillId="2" borderId="0" pivotButton="0" quotePrefix="0" xfId="0"/>
    <xf numFmtId="0" fontId="14" fillId="0" borderId="0" pivotButton="0" quotePrefix="0" xfId="0"/>
    <xf numFmtId="164" fontId="15" fillId="4" borderId="0" pivotButton="0" quotePrefix="0" xfId="0"/>
    <xf numFmtId="0" fontId="12" fillId="5" borderId="2" applyAlignment="1" pivotButton="0" quotePrefix="0" xfId="0">
      <alignment horizontal="center" vertical="center" wrapText="1"/>
    </xf>
    <xf numFmtId="0" fontId="7" fillId="6" borderId="2" pivotButton="0" quotePrefix="0" xfId="0"/>
    <xf numFmtId="167" fontId="7" fillId="6" borderId="2" pivotButton="0" quotePrefix="0" xfId="0"/>
    <xf numFmtId="164" fontId="7" fillId="6" borderId="2" pivotButton="0" quotePrefix="0" xfId="0"/>
    <xf numFmtId="165" fontId="7" fillId="6" borderId="2" pivotButton="0" quotePrefix="0" xfId="0"/>
    <xf numFmtId="164" fontId="7" fillId="7" borderId="2" pivotButton="0" quotePrefix="0" xfId="0"/>
    <xf numFmtId="1" fontId="15" fillId="4" borderId="0" pivotButton="0" quotePrefix="0" xfId="0"/>
    <xf numFmtId="0" fontId="0" fillId="8" borderId="2" pivotButton="0" quotePrefix="0" xfId="0"/>
    <xf numFmtId="167" fontId="0" fillId="8" borderId="2" pivotButton="0" quotePrefix="0" xfId="0"/>
    <xf numFmtId="164" fontId="0" fillId="8" borderId="2" pivotButton="0" quotePrefix="0" xfId="0"/>
    <xf numFmtId="165" fontId="0" fillId="8" borderId="2" pivotButton="0" quotePrefix="0" xfId="0"/>
    <xf numFmtId="164" fontId="0" fillId="7" borderId="2" pivotButton="0" quotePrefix="0" xfId="0"/>
    <xf numFmtId="0" fontId="0" fillId="0" borderId="2" pivotButton="0" quotePrefix="0" xfId="0"/>
    <xf numFmtId="164" fontId="0" fillId="0" borderId="2" pivotButton="0" quotePrefix="0" xfId="0"/>
    <xf numFmtId="164" fontId="0" fillId="3" borderId="2" pivotButton="0" quotePrefix="0" xfId="0"/>
    <xf numFmtId="0" fontId="16" fillId="0" borderId="0" pivotButton="0" quotePrefix="0" xfId="0"/>
    <xf numFmtId="164" fontId="16" fillId="4" borderId="2" pivotButton="0" quotePrefix="0" xfId="0"/>
    <xf numFmtId="0" fontId="7" fillId="0" borderId="0" applyAlignment="1" pivotButton="0" quotePrefix="0" xfId="0">
      <alignment wrapText="1"/>
    </xf>
    <xf numFmtId="0" fontId="7" fillId="9" borderId="2" applyAlignment="1" pivotButton="0" quotePrefix="0" xfId="0">
      <alignment vertical="top" wrapText="1"/>
    </xf>
    <xf numFmtId="0" fontId="7" fillId="0" borderId="2" applyAlignment="1" pivotButton="0" quotePrefix="0" xfId="0">
      <alignment vertical="top" wrapText="1"/>
    </xf>
    <xf numFmtId="0" fontId="12" fillId="5" borderId="0" pivotButton="0" quotePrefix="0" xfId="0"/>
    <xf numFmtId="0" fontId="16" fillId="0" borderId="2" pivotButton="0" quotePrefix="0" xfId="0"/>
    <xf numFmtId="168" fontId="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Monthly Impact £ (programme weeks)</a:t>
            </a:r>
          </a:p>
        </rich>
      </tx>
    </title>
    <plotArea>
      <barChart>
        <barDir val="col"/>
        <grouping val="clustered"/>
        <ser>
          <idx val="0"/>
          <order val="0"/>
          <spPr>
            <a:ln>
              <a:prstDash val="solid"/>
            </a:ln>
          </spPr>
          <cat>
            <numRef>
              <f>'Pipeline Forecast'!$G$4:$X$4</f>
            </numRef>
          </cat>
          <val>
            <numRef>
              <f>'Pipeline Forecast'!$G$9:$X$9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6</col>
      <colOff>0</colOff>
      <row>3</row>
      <rowOff>0</rowOff>
    </from>
    <ext cx="914400" cy="9144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79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fitToPage="1"/>
  </sheetPr>
  <dimension ref="A1:H25"/>
  <sheetViews>
    <sheetView workbookViewId="0">
      <selection activeCell="A1" sqref="A1"/>
    </sheetView>
  </sheetViews>
  <sheetFormatPr baseColWidth="8" defaultRowHeight="15"/>
  <cols>
    <col width="22" customWidth="1" min="1" max="1"/>
    <col width="28" customWidth="1" min="2" max="2"/>
    <col width="18" customWidth="1" min="3" max="3"/>
    <col width="18" customWidth="1" min="4" max="4"/>
    <col width="14" customWidth="1" min="5" max="5"/>
    <col width="14" customWidth="1" min="6" max="6"/>
    <col width="14" customWidth="1" min="7" max="7"/>
    <col width="14" customWidth="1" min="8" max="8"/>
  </cols>
  <sheetData>
    <row r="1" ht="40" customHeight="1">
      <c r="A1" s="1" t="inlineStr">
        <is>
          <t>TREUN ROC CONTRACTS</t>
        </is>
      </c>
      <c r="B1" s="2" t="n"/>
      <c r="C1" s="2" t="n"/>
      <c r="D1" s="2" t="n"/>
      <c r="E1" s="2" t="n"/>
      <c r="F1" s="2" t="n"/>
      <c r="G1" s="2" t="n"/>
      <c r="H1" s="2" t="n"/>
    </row>
    <row r="2" ht="24" customHeight="1">
      <c r="A2" s="3" t="inlineStr">
        <is>
          <t>TR CONNECT  ·  COMMERCIAL FORECAST &amp; NEW BUSINESS PIPELINE</t>
        </is>
      </c>
      <c r="B2" s="2" t="n"/>
      <c r="C2" s="2" t="n"/>
      <c r="D2" s="2" t="n"/>
      <c r="E2" s="2" t="n"/>
      <c r="F2" s="2" t="n"/>
      <c r="G2" s="2" t="n"/>
      <c r="H2" s="2" t="n"/>
    </row>
    <row r="4">
      <c r="A4" s="4" t="inlineStr">
        <is>
          <t>BOARD PACK</t>
        </is>
      </c>
    </row>
    <row r="5">
      <c r="A5" s="5" t="inlineStr">
        <is>
          <t>New business leads · Quick BD capture · Monthly impact roll-up · Stage-gate journey</t>
        </is>
      </c>
    </row>
    <row r="7">
      <c r="A7" s="6" t="inlineStr">
        <is>
          <t>Document control</t>
        </is>
      </c>
    </row>
    <row r="8">
      <c r="A8" s="7" t="inlineStr">
        <is>
          <t>Classification</t>
        </is>
      </c>
      <c r="B8" s="8" t="inlineStr">
        <is>
          <t>CONFIDENTIAL — INTERNAL USE ONLY</t>
        </is>
      </c>
    </row>
    <row r="9">
      <c r="A9" s="7" t="inlineStr">
        <is>
          <t>Entity</t>
        </is>
      </c>
      <c r="B9" s="8" t="inlineStr">
        <is>
          <t>Treun Roc Contracts</t>
        </is>
      </c>
    </row>
    <row r="10">
      <c r="A10" s="7" t="inlineStr">
        <is>
          <t>System</t>
        </is>
      </c>
      <c r="B10" s="8" t="inlineStr">
        <is>
          <t>TR Connect (connect.treunroccontracts.com)</t>
        </is>
      </c>
    </row>
    <row r="11">
      <c r="A11" s="7" t="inlineStr">
        <is>
          <t>Period</t>
        </is>
      </c>
      <c r="B11" s="8" t="inlineStr">
        <is>
          <t>September 2026</t>
        </is>
      </c>
    </row>
    <row r="12">
      <c r="A12" s="7" t="inlineStr">
        <is>
          <t>Version</t>
        </is>
      </c>
      <c r="B12" s="8" t="inlineStr">
        <is>
          <t>1.0</t>
        </is>
      </c>
    </row>
    <row r="13">
      <c r="A13" s="7" t="inlineStr">
        <is>
          <t>Prepared</t>
        </is>
      </c>
      <c r="B13" s="8" t="inlineStr">
        <is>
          <t>TR Connect / MD Ops</t>
        </is>
      </c>
    </row>
    <row r="14">
      <c r="A14" s="7" t="inlineStr">
        <is>
          <t>Reviewed</t>
        </is>
      </c>
      <c r="B14" s="8" t="inlineStr"/>
    </row>
    <row r="15">
      <c r="A15" s="7" t="inlineStr">
        <is>
          <t>Approved</t>
        </is>
      </c>
      <c r="B15" s="8" t="inlineStr"/>
    </row>
    <row r="16">
      <c r="A16" s="7" t="inlineStr">
        <is>
          <t>Generated</t>
        </is>
      </c>
      <c r="B16" s="8" t="inlineStr">
        <is>
          <t>17 Sep 2026 17:25 UK</t>
        </is>
      </c>
    </row>
    <row r="19">
      <c r="A19" s="9" t="inlineStr">
        <is>
          <t>Purpose</t>
        </is>
      </c>
    </row>
    <row r="20">
      <c r="A20" s="10" t="inlineStr">
        <is>
          <t>This pack is the board-level commercial forecast for Treun Roc. Staff capture new business via Quick BD Input (Client, Project, Location, Contact, Est. Annual Turnover, Est. Margin, Est. Duration). Monthly Impact is calculated as Est. Annual Turnover ÷ Est. Duration (weeks) — £ per week of programme, labelled Monthly Impact. Leads feed the Connect journey: Quick BD → Tender/Quote → Jobs board (QUOTED → TENDERED → UPCOMING → LIVE → SNAGGING → COMPLETED) → delivery → invoice.</t>
        </is>
      </c>
    </row>
    <row r="21"/>
    <row r="22"/>
    <row r="24">
      <c r="A24" s="11" t="inlineStr">
        <is>
          <t>CONFIDENTIAL</t>
        </is>
      </c>
    </row>
    <row r="25">
      <c r="A25" s="5" t="inlineStr">
        <is>
          <t>Not for external distribution. Contains commercially sensitive pipeline information.</t>
        </is>
      </c>
    </row>
  </sheetData>
  <mergeCells count="14">
    <mergeCell ref="A1:H1"/>
    <mergeCell ref="A4:H4"/>
    <mergeCell ref="B10:D10"/>
    <mergeCell ref="B11:D11"/>
    <mergeCell ref="B14:D14"/>
    <mergeCell ref="B15:D15"/>
    <mergeCell ref="B8:D8"/>
    <mergeCell ref="A2:H2"/>
    <mergeCell ref="A20:H22"/>
    <mergeCell ref="B9:D9"/>
    <mergeCell ref="B13:D13"/>
    <mergeCell ref="A5:H5"/>
    <mergeCell ref="B12:D12"/>
    <mergeCell ref="B16:D16"/>
  </mergeCells>
  <pageMargins left="0.4" right="0.4" top="1" bottom="1" header="0.5" footer="0.5"/>
  <pageSetup orientation="portrait" fitToHeight="0" fitToWidth="1"/>
  <headerFooter>
    <oddHeader>&amp;CTreun Roc Contracts — CONFIDENTIAL</oddHeader>
    <oddFooter>&amp;CPage &amp;P of &amp;N | TR Connect Board Forecast&amp;R17 Sep 2026</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J22"/>
  <sheetViews>
    <sheetView workbookViewId="0">
      <selection activeCell="A1" sqref="A1"/>
    </sheetView>
  </sheetViews>
  <sheetFormatPr baseColWidth="8" defaultRowHeight="15"/>
  <cols>
    <col width="18" customWidth="1" min="1" max="1"/>
    <col width="12" customWidth="1" min="2" max="2"/>
    <col width="18" customWidth="1" min="3" max="3"/>
    <col width="12" customWidth="1" min="4" max="4"/>
    <col width="18" customWidth="1" min="5" max="5"/>
    <col width="12" customWidth="1" min="6" max="6"/>
    <col width="16" customWidth="1" min="7" max="7"/>
    <col width="12" customWidth="1" min="8" max="8"/>
    <col width="14" customWidth="1" min="9" max="9"/>
    <col width="12" customWidth="1" min="10" max="10"/>
  </cols>
  <sheetData>
    <row r="1" ht="32" customHeight="1">
      <c r="A1" s="1" t="inlineStr">
        <is>
          <t>EXECUTIVE SUMMARY — COMMERCIAL PIPELINE</t>
        </is>
      </c>
      <c r="B1" s="2" t="n"/>
      <c r="C1" s="2" t="n"/>
      <c r="D1" s="2" t="n"/>
      <c r="E1" s="2" t="n"/>
      <c r="F1" s="2" t="n"/>
      <c r="G1" s="2" t="n"/>
      <c r="H1" s="2" t="n"/>
      <c r="I1" s="2" t="n"/>
      <c r="J1" s="2" t="n"/>
    </row>
    <row r="2">
      <c r="A2" s="5" t="inlineStr">
        <is>
          <t>As at 17 Sep 2026  ·  Formula: Monthly Impact £ = Annual Turnover ÷ Duration (weeks)</t>
        </is>
      </c>
    </row>
    <row r="4">
      <c r="A4" s="12" t="inlineStr">
        <is>
          <t>PIPELINE TURNOVER £</t>
        </is>
      </c>
      <c r="C4" s="12" t="inlineStr">
        <is>
          <t>MONTHLY IMPACT £</t>
        </is>
      </c>
      <c r="E4" s="12" t="inlineStr">
        <is>
          <t>WEIGHTED IMPACT £</t>
        </is>
      </c>
      <c r="G4" s="12" t="inlineStr">
        <is>
          <t>BD LEADS (excl. Lost)</t>
        </is>
      </c>
      <c r="I4" s="12" t="inlineStr">
        <is>
          <t>AVG MARGIN %</t>
        </is>
      </c>
    </row>
    <row r="5">
      <c r="A5" s="13">
        <f>'Quick BD Input'!T2</f>
        <v/>
      </c>
      <c r="B5" s="14" t="n"/>
      <c r="C5" s="13">
        <f>'Quick BD Input'!T3</f>
        <v/>
      </c>
      <c r="D5" s="14" t="n"/>
      <c r="E5" s="13">
        <f>'Quick BD Input'!T4</f>
        <v/>
      </c>
      <c r="F5" s="14" t="n"/>
      <c r="G5" s="15">
        <f>'Quick BD Input'!T5</f>
        <v/>
      </c>
      <c r="H5" s="14" t="n"/>
      <c r="I5" s="16">
        <f>IFERROR(AVERAGEIF('Quick BD Input'!N5:N54,"&lt;&gt;Lost",'Quick BD Input'!J5:J54),0)</f>
        <v/>
      </c>
      <c r="J5" s="14" t="n"/>
    </row>
    <row r="8">
      <c r="A8" s="9" t="inlineStr">
        <is>
          <t>Board narrative (editable)</t>
        </is>
      </c>
    </row>
    <row r="9">
      <c r="A9" s="17" t="inlineStr">
        <is>
          <t>1. Quick BD is the single capture door for new business — all users, same fields.</t>
        </is>
      </c>
    </row>
    <row r="10">
      <c r="A10" s="17" t="inlineStr">
        <is>
          <t>2. Monthly Impact = Annual Turnover ÷ Duration (weeks). Use this for capacity/cash timing on the forecast.</t>
        </is>
      </c>
    </row>
    <row r="11">
      <c r="A11" s="17" t="inlineStr">
        <is>
          <t>3. Probability weighting applied on Stage Gate defaults (Lead 10% → Won 100%).</t>
        </is>
      </c>
    </row>
    <row r="12">
      <c r="A12" s="17" t="inlineStr">
        <is>
          <t>4. Pipeline stages align to Connect Jobs board: QUOTED / TENDERED / UPCOMING / LIVE / SNAGGING / COMPLETED.</t>
        </is>
      </c>
    </row>
    <row r="13">
      <c r="A13" s="17" t="inlineStr">
        <is>
          <t>5. SAMPLE rows are marked — delete before board circulation.</t>
        </is>
      </c>
    </row>
    <row r="15">
      <c r="A15" s="9" t="inlineStr">
        <is>
          <t>Stage mix (from Quick BD Input)</t>
        </is>
      </c>
    </row>
    <row r="16">
      <c r="A16" s="17" t="inlineStr">
        <is>
          <t>Lead</t>
        </is>
      </c>
      <c r="B16" s="17">
        <f>COUNTIF('Quick BD Input'!N:N,A16)</f>
        <v/>
      </c>
    </row>
    <row r="17">
      <c r="A17" s="17" t="inlineStr">
        <is>
          <t>Prequal</t>
        </is>
      </c>
      <c r="B17" s="17">
        <f>COUNTIF('Quick BD Input'!N:N,A17)</f>
        <v/>
      </c>
    </row>
    <row r="18">
      <c r="A18" s="17" t="inlineStr">
        <is>
          <t>Tender</t>
        </is>
      </c>
      <c r="B18" s="17">
        <f>COUNTIF('Quick BD Input'!N:N,A18)</f>
        <v/>
      </c>
    </row>
    <row r="19">
      <c r="A19" s="17" t="inlineStr">
        <is>
          <t>Preferred</t>
        </is>
      </c>
      <c r="B19" s="17">
        <f>COUNTIF('Quick BD Input'!N:N,A19)</f>
        <v/>
      </c>
    </row>
    <row r="20">
      <c r="A20" s="17" t="inlineStr">
        <is>
          <t>Won</t>
        </is>
      </c>
      <c r="B20" s="17">
        <f>COUNTIF('Quick BD Input'!N:N,A20)</f>
        <v/>
      </c>
    </row>
    <row r="21">
      <c r="A21" s="17" t="inlineStr">
        <is>
          <t>Lost</t>
        </is>
      </c>
      <c r="B21" s="17">
        <f>COUNTIF('Quick BD Input'!N:N,A21)</f>
        <v/>
      </c>
    </row>
    <row r="22">
      <c r="A22" s="17" t="inlineStr">
        <is>
          <t>On Hold</t>
        </is>
      </c>
      <c r="B22" s="17">
        <f>COUNTIF('Quick BD Input'!N:N,A22)</f>
        <v/>
      </c>
    </row>
  </sheetData>
  <mergeCells count="17">
    <mergeCell ref="A4:B4"/>
    <mergeCell ref="G4:H4"/>
    <mergeCell ref="A1:J1"/>
    <mergeCell ref="E4:F4"/>
    <mergeCell ref="I4:J4"/>
    <mergeCell ref="A11:J11"/>
    <mergeCell ref="A9:J9"/>
    <mergeCell ref="C5:D5"/>
    <mergeCell ref="A5:B5"/>
    <mergeCell ref="G5:H5"/>
    <mergeCell ref="E5:F5"/>
    <mergeCell ref="A12:J12"/>
    <mergeCell ref="I5:J5"/>
    <mergeCell ref="A2:J2"/>
    <mergeCell ref="A10:J10"/>
    <mergeCell ref="A13:J13"/>
    <mergeCell ref="C4:D4"/>
  </mergeCells>
  <pageMargins left="0.4" right="0.4" top="1" bottom="1" header="0.5" footer="0.5"/>
  <pageSetup orientation="landscape" fitToHeight="0" fitToWidth="1"/>
  <headerFooter>
    <oddHeader>&amp;CTreun Roc Contracts — CONFIDENTIAL</oddHeader>
    <oddFooter>&amp;CPage &amp;P of &amp;N | TR Connect Board Forecast&amp;R17 Sep 2026</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T5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28" customWidth="1" min="4" max="4"/>
    <col width="32" customWidth="1" min="5" max="5"/>
    <col width="22" customWidth="1" min="6" max="6"/>
    <col width="16" customWidth="1" min="7" max="7"/>
    <col width="22" customWidth="1" min="8" max="8"/>
    <col width="18" customWidth="1" min="9" max="9"/>
    <col width="12" customWidth="1" min="10" max="10"/>
    <col width="14" customWidth="1" min="11" max="11"/>
    <col width="16" customWidth="1" min="12" max="12"/>
    <col width="14" customWidth="1" min="13" max="13"/>
    <col width="12" customWidth="1" min="14" max="14"/>
    <col width="12" customWidth="1" min="15" max="15"/>
    <col width="16" customWidth="1" min="16" max="16"/>
    <col width="28" customWidth="1" min="17" max="17"/>
    <col width="14" customWidth="1" min="18" max="18"/>
    <col width="20" customWidth="1" min="19" max="19"/>
    <col width="14" customWidth="1" min="20" max="20"/>
  </cols>
  <sheetData>
    <row r="1" ht="32" customHeight="1">
      <c r="A1" s="1" t="inlineStr">
        <is>
          <t>QUICK BD INPUT — NEW BUSINESS CAPTURE</t>
        </is>
      </c>
      <c r="B1" s="2" t="n"/>
      <c r="C1" s="2" t="n"/>
      <c r="D1" s="2" t="n"/>
      <c r="E1" s="2" t="n"/>
      <c r="F1" s="2" t="n"/>
      <c r="G1" s="2" t="n"/>
      <c r="H1" s="2" t="n"/>
      <c r="I1" s="2" t="n"/>
      <c r="J1" s="2" t="n"/>
      <c r="K1" s="2" t="n"/>
      <c r="L1" s="2" t="n"/>
      <c r="M1" s="2" t="n"/>
      <c r="N1" s="2" t="n"/>
      <c r="O1" s="2" t="n"/>
      <c r="P1" s="2" t="n"/>
      <c r="Q1" s="2" t="n"/>
      <c r="R1" s="2" t="n"/>
      <c r="T1" s="18" t="inlineStr">
        <is>
          <t>ROLL-UP</t>
        </is>
      </c>
    </row>
    <row r="2">
      <c r="A2" s="19" t="inlineStr">
        <is>
          <t>Monthly Impact £ = Est. Annual Turnover ÷ Est. Duration (weeks)   ·   Est. Margin £ = Annual Turnover × Margin %   ·   Weighted £ = Monthly Impact × Probability %   ·   Yellow = type here   ·   Green = calculated</t>
        </is>
      </c>
      <c r="B2" s="2" t="n"/>
      <c r="C2" s="2" t="n"/>
      <c r="D2" s="2" t="n"/>
      <c r="E2" s="2" t="n"/>
      <c r="F2" s="2" t="n"/>
      <c r="G2" s="2" t="n"/>
      <c r="H2" s="2" t="n"/>
      <c r="I2" s="2" t="n"/>
      <c r="J2" s="2" t="n"/>
      <c r="K2" s="2" t="n"/>
      <c r="L2" s="2" t="n"/>
      <c r="M2" s="2" t="n"/>
      <c r="N2" s="2" t="n"/>
      <c r="O2" s="2" t="n"/>
      <c r="P2" s="2" t="n"/>
      <c r="Q2" s="2" t="n"/>
      <c r="R2" s="2" t="n"/>
      <c r="S2" s="20" t="inlineStr">
        <is>
          <t>Pipeline turnover £</t>
        </is>
      </c>
      <c r="T2" s="21">
        <f>SUMIF(N5:N54,"&lt;&gt;Lost",I5:I54)</f>
        <v/>
      </c>
    </row>
    <row r="3">
      <c r="S3" s="20" t="inlineStr">
        <is>
          <t>Monthly impact £</t>
        </is>
      </c>
      <c r="T3" s="21">
        <f>SUMIF(N5:N54,"&lt;&gt;Lost",L5:L54)</f>
        <v/>
      </c>
    </row>
    <row r="4" ht="36" customHeight="1">
      <c r="A4" s="22" t="inlineStr">
        <is>
          <t>BD Ref</t>
        </is>
      </c>
      <c r="B4" s="22" t="inlineStr">
        <is>
          <t>Date Logged</t>
        </is>
      </c>
      <c r="C4" s="22" t="inlineStr">
        <is>
          <t>Logged By</t>
        </is>
      </c>
      <c r="D4" s="22" t="inlineStr">
        <is>
          <t>Client Name</t>
        </is>
      </c>
      <c r="E4" s="22" t="inlineStr">
        <is>
          <t>Project Name</t>
        </is>
      </c>
      <c r="F4" s="22" t="inlineStr">
        <is>
          <t>Project Location</t>
        </is>
      </c>
      <c r="G4" s="22" t="inlineStr">
        <is>
          <t>Location Type</t>
        </is>
      </c>
      <c r="H4" s="22" t="inlineStr">
        <is>
          <t>Client Contact</t>
        </is>
      </c>
      <c r="I4" s="22" t="inlineStr">
        <is>
          <t>Est. Annual Turnover (£)</t>
        </is>
      </c>
      <c r="J4" s="22" t="inlineStr">
        <is>
          <t>Est. Margin (%)</t>
        </is>
      </c>
      <c r="K4" s="22" t="inlineStr">
        <is>
          <t>Est. Duration (weeks)</t>
        </is>
      </c>
      <c r="L4" s="22" t="inlineStr">
        <is>
          <t>Monthly Impact (£)</t>
        </is>
      </c>
      <c r="M4" s="22" t="inlineStr">
        <is>
          <t>Est. Margin (£)</t>
        </is>
      </c>
      <c r="N4" s="22" t="inlineStr">
        <is>
          <t>Stage</t>
        </is>
      </c>
      <c r="O4" s="22" t="inlineStr">
        <is>
          <t>Probability %</t>
        </is>
      </c>
      <c r="P4" s="22" t="inlineStr">
        <is>
          <t>Weighted Monthly £</t>
        </is>
      </c>
      <c r="Q4" s="22" t="inlineStr">
        <is>
          <t>Notes</t>
        </is>
      </c>
      <c r="R4" s="22" t="inlineStr">
        <is>
          <t>Link Job ID</t>
        </is>
      </c>
      <c r="S4" s="20" t="inlineStr">
        <is>
          <t>Weighted monthly £</t>
        </is>
      </c>
      <c r="T4" s="21">
        <f>SUMIF(N5:N54,"&lt;&gt;Lost",P5:P54)</f>
        <v/>
      </c>
    </row>
    <row r="5">
      <c r="A5" s="23" t="inlineStr">
        <is>
          <t>BD-2026-001</t>
        </is>
      </c>
      <c r="B5" s="24" t="n">
        <v>46275</v>
      </c>
      <c r="C5" s="23" t="inlineStr">
        <is>
          <t>R. Wilson</t>
        </is>
      </c>
      <c r="D5" s="23" t="inlineStr">
        <is>
          <t>SAMPLE — National Rail framework enquiry</t>
        </is>
      </c>
      <c r="E5" s="23" t="inlineStr">
        <is>
          <t>Station canopy renewals — Phase 1</t>
        </is>
      </c>
      <c r="F5" s="23" t="inlineStr">
        <is>
          <t>London &amp; South East</t>
        </is>
      </c>
      <c r="G5" s="23" t="inlineStr">
        <is>
          <t>Specific</t>
        </is>
      </c>
      <c r="H5" s="23" t="inlineStr">
        <is>
          <t>J. Hartley (Commercial)</t>
        </is>
      </c>
      <c r="I5" s="25" t="n">
        <v>4200000</v>
      </c>
      <c r="J5" s="26" t="n">
        <v>0.12</v>
      </c>
      <c r="K5" s="23" t="n">
        <v>52</v>
      </c>
      <c r="L5" s="27">
        <f>IF(OR(I5="",K5="",K5=0),"",I5/K5)</f>
        <v/>
      </c>
      <c r="M5" s="27">
        <f>IF(OR(I5="",J5=""),"",I5*J5)</f>
        <v/>
      </c>
      <c r="N5" s="23" t="inlineStr">
        <is>
          <t>Lead</t>
        </is>
      </c>
      <c r="O5" s="26" t="n">
        <v>0.1</v>
      </c>
      <c r="P5" s="25">
        <f>IF(OR(L5="",O5=""),"",L5*O5)</f>
        <v/>
      </c>
      <c r="Q5" s="23" t="inlineStr">
        <is>
          <t>SAMPLE — delete before board pack</t>
        </is>
      </c>
      <c r="R5" s="23" t="inlineStr"/>
      <c r="S5" s="20" t="inlineStr">
        <is>
          <t>Lead count (excl Lost)</t>
        </is>
      </c>
      <c r="T5" s="28">
        <f>COUNTIFS(D5:D54,"&lt;&gt;",N5:N54,"&lt;&gt;Lost")</f>
        <v/>
      </c>
    </row>
    <row r="6">
      <c r="A6" s="23" t="inlineStr">
        <is>
          <t>BD-2026-002</t>
        </is>
      </c>
      <c r="B6" s="24" t="n">
        <v>46277</v>
      </c>
      <c r="C6" s="23" t="inlineStr">
        <is>
          <t>R. Wilson</t>
        </is>
      </c>
      <c r="D6" s="23" t="inlineStr">
        <is>
          <t>SAMPLE — Regional healthcare trust</t>
        </is>
      </c>
      <c r="E6" s="23" t="inlineStr">
        <is>
          <t>Acute ward refurbishment package</t>
        </is>
      </c>
      <c r="F6" s="23" t="inlineStr">
        <is>
          <t>National coverage</t>
        </is>
      </c>
      <c r="G6" s="23" t="inlineStr">
        <is>
          <t>National Coverage</t>
        </is>
      </c>
      <c r="H6" s="23" t="inlineStr">
        <is>
          <t>S. Patel (Estates)</t>
        </is>
      </c>
      <c r="I6" s="25" t="n">
        <v>1850000</v>
      </c>
      <c r="J6" s="26" t="n">
        <v>0.14</v>
      </c>
      <c r="K6" s="23" t="n">
        <v>40</v>
      </c>
      <c r="L6" s="27">
        <f>IF(OR(I6="",K6="",K6=0),"",I6/K6)</f>
        <v/>
      </c>
      <c r="M6" s="27">
        <f>IF(OR(I6="",J6=""),"",I6*J6)</f>
        <v/>
      </c>
      <c r="N6" s="23" t="inlineStr">
        <is>
          <t>Tender</t>
        </is>
      </c>
      <c r="O6" s="26" t="n">
        <v>0.35</v>
      </c>
      <c r="P6" s="25">
        <f>IF(OR(L6="",O6=""),"",L6*O6)</f>
        <v/>
      </c>
      <c r="Q6" s="23" t="inlineStr">
        <is>
          <t>SAMPLE — delete before board pack</t>
        </is>
      </c>
      <c r="R6" s="23" t="inlineStr"/>
    </row>
    <row r="7">
      <c r="A7" s="23" t="inlineStr">
        <is>
          <t>BD-2026-003</t>
        </is>
      </c>
      <c r="B7" s="24" t="n">
        <v>46280</v>
      </c>
      <c r="C7" s="23" t="inlineStr">
        <is>
          <t>Office</t>
        </is>
      </c>
      <c r="D7" s="23" t="inlineStr">
        <is>
          <t>SAMPLE — Logistics developer</t>
        </is>
      </c>
      <c r="E7" s="23" t="inlineStr">
        <is>
          <t>Cold-store shell &amp; core (unit 4)</t>
        </is>
      </c>
      <c r="F7" s="23" t="inlineStr">
        <is>
          <t>Midlands</t>
        </is>
      </c>
      <c r="G7" s="23" t="inlineStr">
        <is>
          <t>Specific</t>
        </is>
      </c>
      <c r="H7" s="23" t="inlineStr">
        <is>
          <t>A. Okonkwo</t>
        </is>
      </c>
      <c r="I7" s="25" t="n">
        <v>960000</v>
      </c>
      <c r="J7" s="26" t="n">
        <v>0.11</v>
      </c>
      <c r="K7" s="23" t="n">
        <v>28</v>
      </c>
      <c r="L7" s="27">
        <f>IF(OR(I7="",K7="",K7=0),"",I7/K7)</f>
        <v/>
      </c>
      <c r="M7" s="27">
        <f>IF(OR(I7="",J7=""),"",I7*J7)</f>
        <v/>
      </c>
      <c r="N7" s="23" t="inlineStr">
        <is>
          <t>Prequal</t>
        </is>
      </c>
      <c r="O7" s="26" t="n">
        <v>0.2</v>
      </c>
      <c r="P7" s="25">
        <f>IF(OR(L7="",O7=""),"",L7*O7)</f>
        <v/>
      </c>
      <c r="Q7" s="23" t="inlineStr">
        <is>
          <t>SAMPLE — delete before board pack</t>
        </is>
      </c>
      <c r="R7" s="23" t="inlineStr"/>
    </row>
    <row r="8">
      <c r="A8" s="23" t="inlineStr">
        <is>
          <t>BD-2026-004</t>
        </is>
      </c>
      <c r="B8" s="24" t="n">
        <v>46281</v>
      </c>
      <c r="C8" s="23" t="inlineStr">
        <is>
          <t>R. Wilson</t>
        </is>
      </c>
      <c r="D8" s="23" t="inlineStr">
        <is>
          <t>SAMPLE — Local authority education</t>
        </is>
      </c>
      <c r="E8" s="23" t="inlineStr">
        <is>
          <t>SEND school expansion</t>
        </is>
      </c>
      <c r="F8" s="23" t="inlineStr">
        <is>
          <t>East of England</t>
        </is>
      </c>
      <c r="G8" s="23" t="inlineStr">
        <is>
          <t>Specific</t>
        </is>
      </c>
      <c r="H8" s="23" t="inlineStr">
        <is>
          <t>M. Crowther</t>
        </is>
      </c>
      <c r="I8" s="25" t="n">
        <v>2400000</v>
      </c>
      <c r="J8" s="26" t="n">
        <v>0.13</v>
      </c>
      <c r="K8" s="23" t="n">
        <v>60</v>
      </c>
      <c r="L8" s="27">
        <f>IF(OR(I8="",K8="",K8=0),"",I8/K8)</f>
        <v/>
      </c>
      <c r="M8" s="27">
        <f>IF(OR(I8="",J8=""),"",I8*J8)</f>
        <v/>
      </c>
      <c r="N8" s="23" t="inlineStr">
        <is>
          <t>Preferred</t>
        </is>
      </c>
      <c r="O8" s="26" t="n">
        <v>0.6</v>
      </c>
      <c r="P8" s="25">
        <f>IF(OR(L8="",O8=""),"",L8*O8)</f>
        <v/>
      </c>
      <c r="Q8" s="23" t="inlineStr">
        <is>
          <t>SAMPLE — delete before board pack</t>
        </is>
      </c>
      <c r="R8" s="23" t="inlineStr"/>
    </row>
    <row r="9">
      <c r="A9" s="29">
        <f>IF(D9="","","BD-2026-"&amp;TEXT(ROW()-4,"000"))</f>
        <v/>
      </c>
      <c r="B9" s="30" t="n"/>
      <c r="C9" s="29" t="n"/>
      <c r="D9" s="29" t="n"/>
      <c r="E9" s="29" t="n"/>
      <c r="F9" s="29" t="n"/>
      <c r="G9" s="29" t="n"/>
      <c r="H9" s="29" t="n"/>
      <c r="I9" s="31" t="n"/>
      <c r="J9" s="32" t="n"/>
      <c r="K9" s="29" t="n"/>
      <c r="L9" s="33">
        <f>IF(OR(I9="",K9="",K9=0),"",I9/K9)</f>
        <v/>
      </c>
      <c r="M9" s="33">
        <f>IF(OR(I9="",J9=""),"",I9*J9)</f>
        <v/>
      </c>
      <c r="N9" s="29" t="n"/>
      <c r="O9" s="32" t="n"/>
      <c r="P9" s="33">
        <f>IF(OR(L9="",O9=""),"",L9*O9)</f>
        <v/>
      </c>
      <c r="Q9" s="29" t="n"/>
      <c r="R9" s="29" t="n"/>
    </row>
    <row r="10">
      <c r="A10" s="29">
        <f>IF(D10="","","BD-2026-"&amp;TEXT(ROW()-4,"000"))</f>
        <v/>
      </c>
      <c r="B10" s="30" t="n"/>
      <c r="C10" s="29" t="n"/>
      <c r="D10" s="29" t="n"/>
      <c r="E10" s="29" t="n"/>
      <c r="F10" s="29" t="n"/>
      <c r="G10" s="29" t="n"/>
      <c r="H10" s="29" t="n"/>
      <c r="I10" s="31" t="n"/>
      <c r="J10" s="32" t="n"/>
      <c r="K10" s="29" t="n"/>
      <c r="L10" s="33">
        <f>IF(OR(I10="",K10="",K10=0),"",I10/K10)</f>
        <v/>
      </c>
      <c r="M10" s="33">
        <f>IF(OR(I10="",J10=""),"",I10*J10)</f>
        <v/>
      </c>
      <c r="N10" s="29" t="n"/>
      <c r="O10" s="32" t="n"/>
      <c r="P10" s="33">
        <f>IF(OR(L10="",O10=""),"",L10*O10)</f>
        <v/>
      </c>
      <c r="Q10" s="29" t="n"/>
      <c r="R10" s="29" t="n"/>
    </row>
    <row r="11">
      <c r="A11" s="29">
        <f>IF(D11="","","BD-2026-"&amp;TEXT(ROW()-4,"000"))</f>
        <v/>
      </c>
      <c r="B11" s="30" t="n"/>
      <c r="C11" s="29" t="n"/>
      <c r="D11" s="29" t="n"/>
      <c r="E11" s="29" t="n"/>
      <c r="F11" s="29" t="n"/>
      <c r="G11" s="29" t="n"/>
      <c r="H11" s="29" t="n"/>
      <c r="I11" s="31" t="n"/>
      <c r="J11" s="32" t="n"/>
      <c r="K11" s="29" t="n"/>
      <c r="L11" s="33">
        <f>IF(OR(I11="",K11="",K11=0),"",I11/K11)</f>
        <v/>
      </c>
      <c r="M11" s="33">
        <f>IF(OR(I11="",J11=""),"",I11*J11)</f>
        <v/>
      </c>
      <c r="N11" s="29" t="n"/>
      <c r="O11" s="32" t="n"/>
      <c r="P11" s="33">
        <f>IF(OR(L11="",O11=""),"",L11*O11)</f>
        <v/>
      </c>
      <c r="Q11" s="29" t="n"/>
      <c r="R11" s="29" t="n"/>
    </row>
    <row r="12">
      <c r="A12" s="29">
        <f>IF(D12="","","BD-2026-"&amp;TEXT(ROW()-4,"000"))</f>
        <v/>
      </c>
      <c r="B12" s="30" t="n"/>
      <c r="C12" s="29" t="n"/>
      <c r="D12" s="29" t="n"/>
      <c r="E12" s="29" t="n"/>
      <c r="F12" s="29" t="n"/>
      <c r="G12" s="29" t="n"/>
      <c r="H12" s="29" t="n"/>
      <c r="I12" s="31" t="n"/>
      <c r="J12" s="32" t="n"/>
      <c r="K12" s="29" t="n"/>
      <c r="L12" s="33">
        <f>IF(OR(I12="",K12="",K12=0),"",I12/K12)</f>
        <v/>
      </c>
      <c r="M12" s="33">
        <f>IF(OR(I12="",J12=""),"",I12*J12)</f>
        <v/>
      </c>
      <c r="N12" s="29" t="n"/>
      <c r="O12" s="32" t="n"/>
      <c r="P12" s="33">
        <f>IF(OR(L12="",O12=""),"",L12*O12)</f>
        <v/>
      </c>
      <c r="Q12" s="29" t="n"/>
      <c r="R12" s="29" t="n"/>
    </row>
    <row r="13">
      <c r="A13" s="29">
        <f>IF(D13="","","BD-2026-"&amp;TEXT(ROW()-4,"000"))</f>
        <v/>
      </c>
      <c r="B13" s="30" t="n"/>
      <c r="C13" s="29" t="n"/>
      <c r="D13" s="29" t="n"/>
      <c r="E13" s="29" t="n"/>
      <c r="F13" s="29" t="n"/>
      <c r="G13" s="29" t="n"/>
      <c r="H13" s="29" t="n"/>
      <c r="I13" s="31" t="n"/>
      <c r="J13" s="32" t="n"/>
      <c r="K13" s="29" t="n"/>
      <c r="L13" s="33">
        <f>IF(OR(I13="",K13="",K13=0),"",I13/K13)</f>
        <v/>
      </c>
      <c r="M13" s="33">
        <f>IF(OR(I13="",J13=""),"",I13*J13)</f>
        <v/>
      </c>
      <c r="N13" s="29" t="n"/>
      <c r="O13" s="32" t="n"/>
      <c r="P13" s="33">
        <f>IF(OR(L13="",O13=""),"",L13*O13)</f>
        <v/>
      </c>
      <c r="Q13" s="29" t="n"/>
      <c r="R13" s="29" t="n"/>
    </row>
    <row r="14">
      <c r="A14" s="29">
        <f>IF(D14="","","BD-2026-"&amp;TEXT(ROW()-4,"000"))</f>
        <v/>
      </c>
      <c r="B14" s="30" t="n"/>
      <c r="C14" s="29" t="n"/>
      <c r="D14" s="29" t="n"/>
      <c r="E14" s="29" t="n"/>
      <c r="F14" s="29" t="n"/>
      <c r="G14" s="29" t="n"/>
      <c r="H14" s="29" t="n"/>
      <c r="I14" s="31" t="n"/>
      <c r="J14" s="32" t="n"/>
      <c r="K14" s="29" t="n"/>
      <c r="L14" s="33">
        <f>IF(OR(I14="",K14="",K14=0),"",I14/K14)</f>
        <v/>
      </c>
      <c r="M14" s="33">
        <f>IF(OR(I14="",J14=""),"",I14*J14)</f>
        <v/>
      </c>
      <c r="N14" s="29" t="n"/>
      <c r="O14" s="32" t="n"/>
      <c r="P14" s="33">
        <f>IF(OR(L14="",O14=""),"",L14*O14)</f>
        <v/>
      </c>
      <c r="Q14" s="29" t="n"/>
      <c r="R14" s="29" t="n"/>
    </row>
    <row r="15">
      <c r="A15" s="29">
        <f>IF(D15="","","BD-2026-"&amp;TEXT(ROW()-4,"000"))</f>
        <v/>
      </c>
      <c r="B15" s="30" t="n"/>
      <c r="C15" s="29" t="n"/>
      <c r="D15" s="29" t="n"/>
      <c r="E15" s="29" t="n"/>
      <c r="F15" s="29" t="n"/>
      <c r="G15" s="29" t="n"/>
      <c r="H15" s="29" t="n"/>
      <c r="I15" s="31" t="n"/>
      <c r="J15" s="32" t="n"/>
      <c r="K15" s="29" t="n"/>
      <c r="L15" s="33">
        <f>IF(OR(I15="",K15="",K15=0),"",I15/K15)</f>
        <v/>
      </c>
      <c r="M15" s="33">
        <f>IF(OR(I15="",J15=""),"",I15*J15)</f>
        <v/>
      </c>
      <c r="N15" s="29" t="n"/>
      <c r="O15" s="32" t="n"/>
      <c r="P15" s="33">
        <f>IF(OR(L15="",O15=""),"",L15*O15)</f>
        <v/>
      </c>
      <c r="Q15" s="29" t="n"/>
      <c r="R15" s="29" t="n"/>
    </row>
    <row r="16">
      <c r="A16" s="29">
        <f>IF(D16="","","BD-2026-"&amp;TEXT(ROW()-4,"000"))</f>
        <v/>
      </c>
      <c r="B16" s="30" t="n"/>
      <c r="C16" s="29" t="n"/>
      <c r="D16" s="29" t="n"/>
      <c r="E16" s="29" t="n"/>
      <c r="F16" s="29" t="n"/>
      <c r="G16" s="29" t="n"/>
      <c r="H16" s="29" t="n"/>
      <c r="I16" s="31" t="n"/>
      <c r="J16" s="32" t="n"/>
      <c r="K16" s="29" t="n"/>
      <c r="L16" s="33">
        <f>IF(OR(I16="",K16="",K16=0),"",I16/K16)</f>
        <v/>
      </c>
      <c r="M16" s="33">
        <f>IF(OR(I16="",J16=""),"",I16*J16)</f>
        <v/>
      </c>
      <c r="N16" s="29" t="n"/>
      <c r="O16" s="32" t="n"/>
      <c r="P16" s="33">
        <f>IF(OR(L16="",O16=""),"",L16*O16)</f>
        <v/>
      </c>
      <c r="Q16" s="29" t="n"/>
      <c r="R16" s="29" t="n"/>
    </row>
    <row r="17">
      <c r="A17" s="29">
        <f>IF(D17="","","BD-2026-"&amp;TEXT(ROW()-4,"000"))</f>
        <v/>
      </c>
      <c r="B17" s="30" t="n"/>
      <c r="C17" s="29" t="n"/>
      <c r="D17" s="29" t="n"/>
      <c r="E17" s="29" t="n"/>
      <c r="F17" s="29" t="n"/>
      <c r="G17" s="29" t="n"/>
      <c r="H17" s="29" t="n"/>
      <c r="I17" s="31" t="n"/>
      <c r="J17" s="32" t="n"/>
      <c r="K17" s="29" t="n"/>
      <c r="L17" s="33">
        <f>IF(OR(I17="",K17="",K17=0),"",I17/K17)</f>
        <v/>
      </c>
      <c r="M17" s="33">
        <f>IF(OR(I17="",J17=""),"",I17*J17)</f>
        <v/>
      </c>
      <c r="N17" s="29" t="n"/>
      <c r="O17" s="32" t="n"/>
      <c r="P17" s="33">
        <f>IF(OR(L17="",O17=""),"",L17*O17)</f>
        <v/>
      </c>
      <c r="Q17" s="29" t="n"/>
      <c r="R17" s="29" t="n"/>
    </row>
    <row r="18">
      <c r="A18" s="29">
        <f>IF(D18="","","BD-2026-"&amp;TEXT(ROW()-4,"000"))</f>
        <v/>
      </c>
      <c r="B18" s="30" t="n"/>
      <c r="C18" s="29" t="n"/>
      <c r="D18" s="29" t="n"/>
      <c r="E18" s="29" t="n"/>
      <c r="F18" s="29" t="n"/>
      <c r="G18" s="29" t="n"/>
      <c r="H18" s="29" t="n"/>
      <c r="I18" s="31" t="n"/>
      <c r="J18" s="32" t="n"/>
      <c r="K18" s="29" t="n"/>
      <c r="L18" s="33">
        <f>IF(OR(I18="",K18="",K18=0),"",I18/K18)</f>
        <v/>
      </c>
      <c r="M18" s="33">
        <f>IF(OR(I18="",J18=""),"",I18*J18)</f>
        <v/>
      </c>
      <c r="N18" s="29" t="n"/>
      <c r="O18" s="32" t="n"/>
      <c r="P18" s="33">
        <f>IF(OR(L18="",O18=""),"",L18*O18)</f>
        <v/>
      </c>
      <c r="Q18" s="29" t="n"/>
      <c r="R18" s="29" t="n"/>
    </row>
    <row r="19">
      <c r="A19" s="29">
        <f>IF(D19="","","BD-2026-"&amp;TEXT(ROW()-4,"000"))</f>
        <v/>
      </c>
      <c r="B19" s="30" t="n"/>
      <c r="C19" s="29" t="n"/>
      <c r="D19" s="29" t="n"/>
      <c r="E19" s="29" t="n"/>
      <c r="F19" s="29" t="n"/>
      <c r="G19" s="29" t="n"/>
      <c r="H19" s="29" t="n"/>
      <c r="I19" s="31" t="n"/>
      <c r="J19" s="32" t="n"/>
      <c r="K19" s="29" t="n"/>
      <c r="L19" s="33">
        <f>IF(OR(I19="",K19="",K19=0),"",I19/K19)</f>
        <v/>
      </c>
      <c r="M19" s="33">
        <f>IF(OR(I19="",J19=""),"",I19*J19)</f>
        <v/>
      </c>
      <c r="N19" s="29" t="n"/>
      <c r="O19" s="32" t="n"/>
      <c r="P19" s="33">
        <f>IF(OR(L19="",O19=""),"",L19*O19)</f>
        <v/>
      </c>
      <c r="Q19" s="29" t="n"/>
      <c r="R19" s="29" t="n"/>
    </row>
    <row r="20">
      <c r="A20" s="29">
        <f>IF(D20="","","BD-2026-"&amp;TEXT(ROW()-4,"000"))</f>
        <v/>
      </c>
      <c r="B20" s="30" t="n"/>
      <c r="C20" s="29" t="n"/>
      <c r="D20" s="29" t="n"/>
      <c r="E20" s="29" t="n"/>
      <c r="F20" s="29" t="n"/>
      <c r="G20" s="29" t="n"/>
      <c r="H20" s="29" t="n"/>
      <c r="I20" s="31" t="n"/>
      <c r="J20" s="32" t="n"/>
      <c r="K20" s="29" t="n"/>
      <c r="L20" s="33">
        <f>IF(OR(I20="",K20="",K20=0),"",I20/K20)</f>
        <v/>
      </c>
      <c r="M20" s="33">
        <f>IF(OR(I20="",J20=""),"",I20*J20)</f>
        <v/>
      </c>
      <c r="N20" s="29" t="n"/>
      <c r="O20" s="32" t="n"/>
      <c r="P20" s="33">
        <f>IF(OR(L20="",O20=""),"",L20*O20)</f>
        <v/>
      </c>
      <c r="Q20" s="29" t="n"/>
      <c r="R20" s="29" t="n"/>
    </row>
    <row r="21">
      <c r="A21" s="29">
        <f>IF(D21="","","BD-2026-"&amp;TEXT(ROW()-4,"000"))</f>
        <v/>
      </c>
      <c r="B21" s="30" t="n"/>
      <c r="C21" s="29" t="n"/>
      <c r="D21" s="29" t="n"/>
      <c r="E21" s="29" t="n"/>
      <c r="F21" s="29" t="n"/>
      <c r="G21" s="29" t="n"/>
      <c r="H21" s="29" t="n"/>
      <c r="I21" s="31" t="n"/>
      <c r="J21" s="32" t="n"/>
      <c r="K21" s="29" t="n"/>
      <c r="L21" s="33">
        <f>IF(OR(I21="",K21="",K21=0),"",I21/K21)</f>
        <v/>
      </c>
      <c r="M21" s="33">
        <f>IF(OR(I21="",J21=""),"",I21*J21)</f>
        <v/>
      </c>
      <c r="N21" s="29" t="n"/>
      <c r="O21" s="32" t="n"/>
      <c r="P21" s="33">
        <f>IF(OR(L21="",O21=""),"",L21*O21)</f>
        <v/>
      </c>
      <c r="Q21" s="29" t="n"/>
      <c r="R21" s="29" t="n"/>
    </row>
    <row r="22">
      <c r="A22" s="29">
        <f>IF(D22="","","BD-2026-"&amp;TEXT(ROW()-4,"000"))</f>
        <v/>
      </c>
      <c r="B22" s="30" t="n"/>
      <c r="C22" s="29" t="n"/>
      <c r="D22" s="29" t="n"/>
      <c r="E22" s="29" t="n"/>
      <c r="F22" s="29" t="n"/>
      <c r="G22" s="29" t="n"/>
      <c r="H22" s="29" t="n"/>
      <c r="I22" s="31" t="n"/>
      <c r="J22" s="32" t="n"/>
      <c r="K22" s="29" t="n"/>
      <c r="L22" s="33">
        <f>IF(OR(I22="",K22="",K22=0),"",I22/K22)</f>
        <v/>
      </c>
      <c r="M22" s="33">
        <f>IF(OR(I22="",J22=""),"",I22*J22)</f>
        <v/>
      </c>
      <c r="N22" s="29" t="n"/>
      <c r="O22" s="32" t="n"/>
      <c r="P22" s="33">
        <f>IF(OR(L22="",O22=""),"",L22*O22)</f>
        <v/>
      </c>
      <c r="Q22" s="29" t="n"/>
      <c r="R22" s="29" t="n"/>
    </row>
    <row r="23">
      <c r="A23" s="29">
        <f>IF(D23="","","BD-2026-"&amp;TEXT(ROW()-4,"000"))</f>
        <v/>
      </c>
      <c r="B23" s="30" t="n"/>
      <c r="C23" s="29" t="n"/>
      <c r="D23" s="29" t="n"/>
      <c r="E23" s="29" t="n"/>
      <c r="F23" s="29" t="n"/>
      <c r="G23" s="29" t="n"/>
      <c r="H23" s="29" t="n"/>
      <c r="I23" s="31" t="n"/>
      <c r="J23" s="32" t="n"/>
      <c r="K23" s="29" t="n"/>
      <c r="L23" s="33">
        <f>IF(OR(I23="",K23="",K23=0),"",I23/K23)</f>
        <v/>
      </c>
      <c r="M23" s="33">
        <f>IF(OR(I23="",J23=""),"",I23*J23)</f>
        <v/>
      </c>
      <c r="N23" s="29" t="n"/>
      <c r="O23" s="32" t="n"/>
      <c r="P23" s="33">
        <f>IF(OR(L23="",O23=""),"",L23*O23)</f>
        <v/>
      </c>
      <c r="Q23" s="29" t="n"/>
      <c r="R23" s="29" t="n"/>
    </row>
    <row r="24">
      <c r="A24" s="29">
        <f>IF(D24="","","BD-2026-"&amp;TEXT(ROW()-4,"000"))</f>
        <v/>
      </c>
      <c r="B24" s="30" t="n"/>
      <c r="C24" s="29" t="n"/>
      <c r="D24" s="29" t="n"/>
      <c r="E24" s="29" t="n"/>
      <c r="F24" s="29" t="n"/>
      <c r="G24" s="29" t="n"/>
      <c r="H24" s="29" t="n"/>
      <c r="I24" s="31" t="n"/>
      <c r="J24" s="32" t="n"/>
      <c r="K24" s="29" t="n"/>
      <c r="L24" s="33">
        <f>IF(OR(I24="",K24="",K24=0),"",I24/K24)</f>
        <v/>
      </c>
      <c r="M24" s="33">
        <f>IF(OR(I24="",J24=""),"",I24*J24)</f>
        <v/>
      </c>
      <c r="N24" s="29" t="n"/>
      <c r="O24" s="32" t="n"/>
      <c r="P24" s="33">
        <f>IF(OR(L24="",O24=""),"",L24*O24)</f>
        <v/>
      </c>
      <c r="Q24" s="29" t="n"/>
      <c r="R24" s="29" t="n"/>
    </row>
    <row r="25">
      <c r="A25" s="29">
        <f>IF(D25="","","BD-2026-"&amp;TEXT(ROW()-4,"000"))</f>
        <v/>
      </c>
      <c r="B25" s="30" t="n"/>
      <c r="C25" s="29" t="n"/>
      <c r="D25" s="29" t="n"/>
      <c r="E25" s="29" t="n"/>
      <c r="F25" s="29" t="n"/>
      <c r="G25" s="29" t="n"/>
      <c r="H25" s="29" t="n"/>
      <c r="I25" s="31" t="n"/>
      <c r="J25" s="32" t="n"/>
      <c r="K25" s="29" t="n"/>
      <c r="L25" s="33">
        <f>IF(OR(I25="",K25="",K25=0),"",I25/K25)</f>
        <v/>
      </c>
      <c r="M25" s="33">
        <f>IF(OR(I25="",J25=""),"",I25*J25)</f>
        <v/>
      </c>
      <c r="N25" s="29" t="n"/>
      <c r="O25" s="32" t="n"/>
      <c r="P25" s="33">
        <f>IF(OR(L25="",O25=""),"",L25*O25)</f>
        <v/>
      </c>
      <c r="Q25" s="29" t="n"/>
      <c r="R25" s="29" t="n"/>
    </row>
    <row r="26">
      <c r="A26" s="29">
        <f>IF(D26="","","BD-2026-"&amp;TEXT(ROW()-4,"000"))</f>
        <v/>
      </c>
      <c r="B26" s="30" t="n"/>
      <c r="C26" s="29" t="n"/>
      <c r="D26" s="29" t="n"/>
      <c r="E26" s="29" t="n"/>
      <c r="F26" s="29" t="n"/>
      <c r="G26" s="29" t="n"/>
      <c r="H26" s="29" t="n"/>
      <c r="I26" s="31" t="n"/>
      <c r="J26" s="32" t="n"/>
      <c r="K26" s="29" t="n"/>
      <c r="L26" s="33">
        <f>IF(OR(I26="",K26="",K26=0),"",I26/K26)</f>
        <v/>
      </c>
      <c r="M26" s="33">
        <f>IF(OR(I26="",J26=""),"",I26*J26)</f>
        <v/>
      </c>
      <c r="N26" s="29" t="n"/>
      <c r="O26" s="32" t="n"/>
      <c r="P26" s="33">
        <f>IF(OR(L26="",O26=""),"",L26*O26)</f>
        <v/>
      </c>
      <c r="Q26" s="29" t="n"/>
      <c r="R26" s="29" t="n"/>
    </row>
    <row r="27">
      <c r="A27" s="29">
        <f>IF(D27="","","BD-2026-"&amp;TEXT(ROW()-4,"000"))</f>
        <v/>
      </c>
      <c r="B27" s="30" t="n"/>
      <c r="C27" s="29" t="n"/>
      <c r="D27" s="29" t="n"/>
      <c r="E27" s="29" t="n"/>
      <c r="F27" s="29" t="n"/>
      <c r="G27" s="29" t="n"/>
      <c r="H27" s="29" t="n"/>
      <c r="I27" s="31" t="n"/>
      <c r="J27" s="32" t="n"/>
      <c r="K27" s="29" t="n"/>
      <c r="L27" s="33">
        <f>IF(OR(I27="",K27="",K27=0),"",I27/K27)</f>
        <v/>
      </c>
      <c r="M27" s="33">
        <f>IF(OR(I27="",J27=""),"",I27*J27)</f>
        <v/>
      </c>
      <c r="N27" s="29" t="n"/>
      <c r="O27" s="32" t="n"/>
      <c r="P27" s="33">
        <f>IF(OR(L27="",O27=""),"",L27*O27)</f>
        <v/>
      </c>
      <c r="Q27" s="29" t="n"/>
      <c r="R27" s="29" t="n"/>
    </row>
    <row r="28">
      <c r="A28" s="29">
        <f>IF(D28="","","BD-2026-"&amp;TEXT(ROW()-4,"000"))</f>
        <v/>
      </c>
      <c r="B28" s="30" t="n"/>
      <c r="C28" s="29" t="n"/>
      <c r="D28" s="29" t="n"/>
      <c r="E28" s="29" t="n"/>
      <c r="F28" s="29" t="n"/>
      <c r="G28" s="29" t="n"/>
      <c r="H28" s="29" t="n"/>
      <c r="I28" s="31" t="n"/>
      <c r="J28" s="32" t="n"/>
      <c r="K28" s="29" t="n"/>
      <c r="L28" s="33">
        <f>IF(OR(I28="",K28="",K28=0),"",I28/K28)</f>
        <v/>
      </c>
      <c r="M28" s="33">
        <f>IF(OR(I28="",J28=""),"",I28*J28)</f>
        <v/>
      </c>
      <c r="N28" s="29" t="n"/>
      <c r="O28" s="32" t="n"/>
      <c r="P28" s="33">
        <f>IF(OR(L28="",O28=""),"",L28*O28)</f>
        <v/>
      </c>
      <c r="Q28" s="29" t="n"/>
      <c r="R28" s="29" t="n"/>
    </row>
    <row r="29">
      <c r="A29" s="29">
        <f>IF(D29="","","BD-2026-"&amp;TEXT(ROW()-4,"000"))</f>
        <v/>
      </c>
      <c r="B29" s="30" t="n"/>
      <c r="C29" s="29" t="n"/>
      <c r="D29" s="29" t="n"/>
      <c r="E29" s="29" t="n"/>
      <c r="F29" s="29" t="n"/>
      <c r="G29" s="29" t="n"/>
      <c r="H29" s="29" t="n"/>
      <c r="I29" s="31" t="n"/>
      <c r="J29" s="32" t="n"/>
      <c r="K29" s="29" t="n"/>
      <c r="L29" s="33">
        <f>IF(OR(I29="",K29="",K29=0),"",I29/K29)</f>
        <v/>
      </c>
      <c r="M29" s="33">
        <f>IF(OR(I29="",J29=""),"",I29*J29)</f>
        <v/>
      </c>
      <c r="N29" s="29" t="n"/>
      <c r="O29" s="32" t="n"/>
      <c r="P29" s="33">
        <f>IF(OR(L29="",O29=""),"",L29*O29)</f>
        <v/>
      </c>
      <c r="Q29" s="29" t="n"/>
      <c r="R29" s="29" t="n"/>
    </row>
    <row r="30">
      <c r="A30" s="29">
        <f>IF(D30="","","BD-2026-"&amp;TEXT(ROW()-4,"000"))</f>
        <v/>
      </c>
      <c r="B30" s="30" t="n"/>
      <c r="C30" s="29" t="n"/>
      <c r="D30" s="29" t="n"/>
      <c r="E30" s="29" t="n"/>
      <c r="F30" s="29" t="n"/>
      <c r="G30" s="29" t="n"/>
      <c r="H30" s="29" t="n"/>
      <c r="I30" s="31" t="n"/>
      <c r="J30" s="32" t="n"/>
      <c r="K30" s="29" t="n"/>
      <c r="L30" s="33">
        <f>IF(OR(I30="",K30="",K30=0),"",I30/K30)</f>
        <v/>
      </c>
      <c r="M30" s="33">
        <f>IF(OR(I30="",J30=""),"",I30*J30)</f>
        <v/>
      </c>
      <c r="N30" s="29" t="n"/>
      <c r="O30" s="32" t="n"/>
      <c r="P30" s="33">
        <f>IF(OR(L30="",O30=""),"",L30*O30)</f>
        <v/>
      </c>
      <c r="Q30" s="29" t="n"/>
      <c r="R30" s="29" t="n"/>
    </row>
    <row r="31">
      <c r="A31" s="29">
        <f>IF(D31="","","BD-2026-"&amp;TEXT(ROW()-4,"000"))</f>
        <v/>
      </c>
      <c r="B31" s="30" t="n"/>
      <c r="C31" s="29" t="n"/>
      <c r="D31" s="29" t="n"/>
      <c r="E31" s="29" t="n"/>
      <c r="F31" s="29" t="n"/>
      <c r="G31" s="29" t="n"/>
      <c r="H31" s="29" t="n"/>
      <c r="I31" s="31" t="n"/>
      <c r="J31" s="32" t="n"/>
      <c r="K31" s="29" t="n"/>
      <c r="L31" s="33">
        <f>IF(OR(I31="",K31="",K31=0),"",I31/K31)</f>
        <v/>
      </c>
      <c r="M31" s="33">
        <f>IF(OR(I31="",J31=""),"",I31*J31)</f>
        <v/>
      </c>
      <c r="N31" s="29" t="n"/>
      <c r="O31" s="32" t="n"/>
      <c r="P31" s="33">
        <f>IF(OR(L31="",O31=""),"",L31*O31)</f>
        <v/>
      </c>
      <c r="Q31" s="29" t="n"/>
      <c r="R31" s="29" t="n"/>
    </row>
    <row r="32">
      <c r="A32" s="29">
        <f>IF(D32="","","BD-2026-"&amp;TEXT(ROW()-4,"000"))</f>
        <v/>
      </c>
      <c r="B32" s="30" t="n"/>
      <c r="C32" s="29" t="n"/>
      <c r="D32" s="29" t="n"/>
      <c r="E32" s="29" t="n"/>
      <c r="F32" s="29" t="n"/>
      <c r="G32" s="29" t="n"/>
      <c r="H32" s="29" t="n"/>
      <c r="I32" s="31" t="n"/>
      <c r="J32" s="32" t="n"/>
      <c r="K32" s="29" t="n"/>
      <c r="L32" s="33">
        <f>IF(OR(I32="",K32="",K32=0),"",I32/K32)</f>
        <v/>
      </c>
      <c r="M32" s="33">
        <f>IF(OR(I32="",J32=""),"",I32*J32)</f>
        <v/>
      </c>
      <c r="N32" s="29" t="n"/>
      <c r="O32" s="32" t="n"/>
      <c r="P32" s="33">
        <f>IF(OR(L32="",O32=""),"",L32*O32)</f>
        <v/>
      </c>
      <c r="Q32" s="29" t="n"/>
      <c r="R32" s="29" t="n"/>
    </row>
    <row r="33">
      <c r="A33" s="29">
        <f>IF(D33="","","BD-2026-"&amp;TEXT(ROW()-4,"000"))</f>
        <v/>
      </c>
      <c r="B33" s="30" t="n"/>
      <c r="C33" s="29" t="n"/>
      <c r="D33" s="29" t="n"/>
      <c r="E33" s="29" t="n"/>
      <c r="F33" s="29" t="n"/>
      <c r="G33" s="29" t="n"/>
      <c r="H33" s="29" t="n"/>
      <c r="I33" s="31" t="n"/>
      <c r="J33" s="32" t="n"/>
      <c r="K33" s="29" t="n"/>
      <c r="L33" s="33">
        <f>IF(OR(I33="",K33="",K33=0),"",I33/K33)</f>
        <v/>
      </c>
      <c r="M33" s="33">
        <f>IF(OR(I33="",J33=""),"",I33*J33)</f>
        <v/>
      </c>
      <c r="N33" s="29" t="n"/>
      <c r="O33" s="32" t="n"/>
      <c r="P33" s="33">
        <f>IF(OR(L33="",O33=""),"",L33*O33)</f>
        <v/>
      </c>
      <c r="Q33" s="29" t="n"/>
      <c r="R33" s="29" t="n"/>
    </row>
    <row r="34">
      <c r="A34" s="29">
        <f>IF(D34="","","BD-2026-"&amp;TEXT(ROW()-4,"000"))</f>
        <v/>
      </c>
      <c r="B34" s="30" t="n"/>
      <c r="C34" s="29" t="n"/>
      <c r="D34" s="29" t="n"/>
      <c r="E34" s="29" t="n"/>
      <c r="F34" s="29" t="n"/>
      <c r="G34" s="29" t="n"/>
      <c r="H34" s="29" t="n"/>
      <c r="I34" s="31" t="n"/>
      <c r="J34" s="32" t="n"/>
      <c r="K34" s="29" t="n"/>
      <c r="L34" s="33">
        <f>IF(OR(I34="",K34="",K34=0),"",I34/K34)</f>
        <v/>
      </c>
      <c r="M34" s="33">
        <f>IF(OR(I34="",J34=""),"",I34*J34)</f>
        <v/>
      </c>
      <c r="N34" s="29" t="n"/>
      <c r="O34" s="32" t="n"/>
      <c r="P34" s="33">
        <f>IF(OR(L34="",O34=""),"",L34*O34)</f>
        <v/>
      </c>
      <c r="Q34" s="29" t="n"/>
      <c r="R34" s="29" t="n"/>
    </row>
    <row r="35">
      <c r="A35" s="29">
        <f>IF(D35="","","BD-2026-"&amp;TEXT(ROW()-4,"000"))</f>
        <v/>
      </c>
      <c r="B35" s="30" t="n"/>
      <c r="C35" s="29" t="n"/>
      <c r="D35" s="29" t="n"/>
      <c r="E35" s="29" t="n"/>
      <c r="F35" s="29" t="n"/>
      <c r="G35" s="29" t="n"/>
      <c r="H35" s="29" t="n"/>
      <c r="I35" s="31" t="n"/>
      <c r="J35" s="32" t="n"/>
      <c r="K35" s="29" t="n"/>
      <c r="L35" s="33">
        <f>IF(OR(I35="",K35="",K35=0),"",I35/K35)</f>
        <v/>
      </c>
      <c r="M35" s="33">
        <f>IF(OR(I35="",J35=""),"",I35*J35)</f>
        <v/>
      </c>
      <c r="N35" s="29" t="n"/>
      <c r="O35" s="32" t="n"/>
      <c r="P35" s="33">
        <f>IF(OR(L35="",O35=""),"",L35*O35)</f>
        <v/>
      </c>
      <c r="Q35" s="29" t="n"/>
      <c r="R35" s="29" t="n"/>
    </row>
    <row r="36">
      <c r="A36" s="29">
        <f>IF(D36="","","BD-2026-"&amp;TEXT(ROW()-4,"000"))</f>
        <v/>
      </c>
      <c r="B36" s="30" t="n"/>
      <c r="C36" s="29" t="n"/>
      <c r="D36" s="29" t="n"/>
      <c r="E36" s="29" t="n"/>
      <c r="F36" s="29" t="n"/>
      <c r="G36" s="29" t="n"/>
      <c r="H36" s="29" t="n"/>
      <c r="I36" s="31" t="n"/>
      <c r="J36" s="32" t="n"/>
      <c r="K36" s="29" t="n"/>
      <c r="L36" s="33">
        <f>IF(OR(I36="",K36="",K36=0),"",I36/K36)</f>
        <v/>
      </c>
      <c r="M36" s="33">
        <f>IF(OR(I36="",J36=""),"",I36*J36)</f>
        <v/>
      </c>
      <c r="N36" s="29" t="n"/>
      <c r="O36" s="32" t="n"/>
      <c r="P36" s="33">
        <f>IF(OR(L36="",O36=""),"",L36*O36)</f>
        <v/>
      </c>
      <c r="Q36" s="29" t="n"/>
      <c r="R36" s="29" t="n"/>
    </row>
    <row r="37">
      <c r="A37" s="29">
        <f>IF(D37="","","BD-2026-"&amp;TEXT(ROW()-4,"000"))</f>
        <v/>
      </c>
      <c r="B37" s="30" t="n"/>
      <c r="C37" s="29" t="n"/>
      <c r="D37" s="29" t="n"/>
      <c r="E37" s="29" t="n"/>
      <c r="F37" s="29" t="n"/>
      <c r="G37" s="29" t="n"/>
      <c r="H37" s="29" t="n"/>
      <c r="I37" s="31" t="n"/>
      <c r="J37" s="32" t="n"/>
      <c r="K37" s="29" t="n"/>
      <c r="L37" s="33">
        <f>IF(OR(I37="",K37="",K37=0),"",I37/K37)</f>
        <v/>
      </c>
      <c r="M37" s="33">
        <f>IF(OR(I37="",J37=""),"",I37*J37)</f>
        <v/>
      </c>
      <c r="N37" s="29" t="n"/>
      <c r="O37" s="32" t="n"/>
      <c r="P37" s="33">
        <f>IF(OR(L37="",O37=""),"",L37*O37)</f>
        <v/>
      </c>
      <c r="Q37" s="29" t="n"/>
      <c r="R37" s="29" t="n"/>
    </row>
    <row r="38">
      <c r="A38" s="29">
        <f>IF(D38="","","BD-2026-"&amp;TEXT(ROW()-4,"000"))</f>
        <v/>
      </c>
      <c r="B38" s="30" t="n"/>
      <c r="C38" s="29" t="n"/>
      <c r="D38" s="29" t="n"/>
      <c r="E38" s="29" t="n"/>
      <c r="F38" s="29" t="n"/>
      <c r="G38" s="29" t="n"/>
      <c r="H38" s="29" t="n"/>
      <c r="I38" s="31" t="n"/>
      <c r="J38" s="32" t="n"/>
      <c r="K38" s="29" t="n"/>
      <c r="L38" s="33">
        <f>IF(OR(I38="",K38="",K38=0),"",I38/K38)</f>
        <v/>
      </c>
      <c r="M38" s="33">
        <f>IF(OR(I38="",J38=""),"",I38*J38)</f>
        <v/>
      </c>
      <c r="N38" s="29" t="n"/>
      <c r="O38" s="32" t="n"/>
      <c r="P38" s="33">
        <f>IF(OR(L38="",O38=""),"",L38*O38)</f>
        <v/>
      </c>
      <c r="Q38" s="29" t="n"/>
      <c r="R38" s="29" t="n"/>
    </row>
    <row r="39">
      <c r="A39" s="29">
        <f>IF(D39="","","BD-2026-"&amp;TEXT(ROW()-4,"000"))</f>
        <v/>
      </c>
      <c r="B39" s="30" t="n"/>
      <c r="C39" s="29" t="n"/>
      <c r="D39" s="29" t="n"/>
      <c r="E39" s="29" t="n"/>
      <c r="F39" s="29" t="n"/>
      <c r="G39" s="29" t="n"/>
      <c r="H39" s="29" t="n"/>
      <c r="I39" s="31" t="n"/>
      <c r="J39" s="32" t="n"/>
      <c r="K39" s="29" t="n"/>
      <c r="L39" s="33">
        <f>IF(OR(I39="",K39="",K39=0),"",I39/K39)</f>
        <v/>
      </c>
      <c r="M39" s="33">
        <f>IF(OR(I39="",J39=""),"",I39*J39)</f>
        <v/>
      </c>
      <c r="N39" s="29" t="n"/>
      <c r="O39" s="32" t="n"/>
      <c r="P39" s="33">
        <f>IF(OR(L39="",O39=""),"",L39*O39)</f>
        <v/>
      </c>
      <c r="Q39" s="29" t="n"/>
      <c r="R39" s="29" t="n"/>
    </row>
    <row r="40">
      <c r="A40" s="29">
        <f>IF(D40="","","BD-2026-"&amp;TEXT(ROW()-4,"000"))</f>
        <v/>
      </c>
      <c r="B40" s="30" t="n"/>
      <c r="C40" s="29" t="n"/>
      <c r="D40" s="29" t="n"/>
      <c r="E40" s="29" t="n"/>
      <c r="F40" s="29" t="n"/>
      <c r="G40" s="29" t="n"/>
      <c r="H40" s="29" t="n"/>
      <c r="I40" s="31" t="n"/>
      <c r="J40" s="32" t="n"/>
      <c r="K40" s="29" t="n"/>
      <c r="L40" s="33">
        <f>IF(OR(I40="",K40="",K40=0),"",I40/K40)</f>
        <v/>
      </c>
      <c r="M40" s="33">
        <f>IF(OR(I40="",J40=""),"",I40*J40)</f>
        <v/>
      </c>
      <c r="N40" s="29" t="n"/>
      <c r="O40" s="32" t="n"/>
      <c r="P40" s="33">
        <f>IF(OR(L40="",O40=""),"",L40*O40)</f>
        <v/>
      </c>
      <c r="Q40" s="29" t="n"/>
      <c r="R40" s="29" t="n"/>
    </row>
    <row r="41">
      <c r="A41" s="29">
        <f>IF(D41="","","BD-2026-"&amp;TEXT(ROW()-4,"000"))</f>
        <v/>
      </c>
      <c r="B41" s="30" t="n"/>
      <c r="C41" s="29" t="n"/>
      <c r="D41" s="29" t="n"/>
      <c r="E41" s="29" t="n"/>
      <c r="F41" s="29" t="n"/>
      <c r="G41" s="29" t="n"/>
      <c r="H41" s="29" t="n"/>
      <c r="I41" s="31" t="n"/>
      <c r="J41" s="32" t="n"/>
      <c r="K41" s="29" t="n"/>
      <c r="L41" s="33">
        <f>IF(OR(I41="",K41="",K41=0),"",I41/K41)</f>
        <v/>
      </c>
      <c r="M41" s="33">
        <f>IF(OR(I41="",J41=""),"",I41*J41)</f>
        <v/>
      </c>
      <c r="N41" s="29" t="n"/>
      <c r="O41" s="32" t="n"/>
      <c r="P41" s="33">
        <f>IF(OR(L41="",O41=""),"",L41*O41)</f>
        <v/>
      </c>
      <c r="Q41" s="29" t="n"/>
      <c r="R41" s="29" t="n"/>
    </row>
    <row r="42">
      <c r="A42" s="29">
        <f>IF(D42="","","BD-2026-"&amp;TEXT(ROW()-4,"000"))</f>
        <v/>
      </c>
      <c r="B42" s="30" t="n"/>
      <c r="C42" s="29" t="n"/>
      <c r="D42" s="29" t="n"/>
      <c r="E42" s="29" t="n"/>
      <c r="F42" s="29" t="n"/>
      <c r="G42" s="29" t="n"/>
      <c r="H42" s="29" t="n"/>
      <c r="I42" s="31" t="n"/>
      <c r="J42" s="32" t="n"/>
      <c r="K42" s="29" t="n"/>
      <c r="L42" s="33">
        <f>IF(OR(I42="",K42="",K42=0),"",I42/K42)</f>
        <v/>
      </c>
      <c r="M42" s="33">
        <f>IF(OR(I42="",J42=""),"",I42*J42)</f>
        <v/>
      </c>
      <c r="N42" s="29" t="n"/>
      <c r="O42" s="32" t="n"/>
      <c r="P42" s="33">
        <f>IF(OR(L42="",O42=""),"",L42*O42)</f>
        <v/>
      </c>
      <c r="Q42" s="29" t="n"/>
      <c r="R42" s="29" t="n"/>
    </row>
    <row r="43">
      <c r="A43" s="29">
        <f>IF(D43="","","BD-2026-"&amp;TEXT(ROW()-4,"000"))</f>
        <v/>
      </c>
      <c r="B43" s="30" t="n"/>
      <c r="C43" s="29" t="n"/>
      <c r="D43" s="29" t="n"/>
      <c r="E43" s="29" t="n"/>
      <c r="F43" s="29" t="n"/>
      <c r="G43" s="29" t="n"/>
      <c r="H43" s="29" t="n"/>
      <c r="I43" s="31" t="n"/>
      <c r="J43" s="32" t="n"/>
      <c r="K43" s="29" t="n"/>
      <c r="L43" s="33">
        <f>IF(OR(I43="",K43="",K43=0),"",I43/K43)</f>
        <v/>
      </c>
      <c r="M43" s="33">
        <f>IF(OR(I43="",J43=""),"",I43*J43)</f>
        <v/>
      </c>
      <c r="N43" s="29" t="n"/>
      <c r="O43" s="32" t="n"/>
      <c r="P43" s="33">
        <f>IF(OR(L43="",O43=""),"",L43*O43)</f>
        <v/>
      </c>
      <c r="Q43" s="29" t="n"/>
      <c r="R43" s="29" t="n"/>
    </row>
    <row r="44">
      <c r="A44" s="29">
        <f>IF(D44="","","BD-2026-"&amp;TEXT(ROW()-4,"000"))</f>
        <v/>
      </c>
      <c r="B44" s="30" t="n"/>
      <c r="C44" s="29" t="n"/>
      <c r="D44" s="29" t="n"/>
      <c r="E44" s="29" t="n"/>
      <c r="F44" s="29" t="n"/>
      <c r="G44" s="29" t="n"/>
      <c r="H44" s="29" t="n"/>
      <c r="I44" s="31" t="n"/>
      <c r="J44" s="32" t="n"/>
      <c r="K44" s="29" t="n"/>
      <c r="L44" s="33">
        <f>IF(OR(I44="",K44="",K44=0),"",I44/K44)</f>
        <v/>
      </c>
      <c r="M44" s="33">
        <f>IF(OR(I44="",J44=""),"",I44*J44)</f>
        <v/>
      </c>
      <c r="N44" s="29" t="n"/>
      <c r="O44" s="32" t="n"/>
      <c r="P44" s="33">
        <f>IF(OR(L44="",O44=""),"",L44*O44)</f>
        <v/>
      </c>
      <c r="Q44" s="29" t="n"/>
      <c r="R44" s="29" t="n"/>
    </row>
    <row r="45">
      <c r="A45" s="29">
        <f>IF(D45="","","BD-2026-"&amp;TEXT(ROW()-4,"000"))</f>
        <v/>
      </c>
      <c r="B45" s="30" t="n"/>
      <c r="C45" s="29" t="n"/>
      <c r="D45" s="29" t="n"/>
      <c r="E45" s="29" t="n"/>
      <c r="F45" s="29" t="n"/>
      <c r="G45" s="29" t="n"/>
      <c r="H45" s="29" t="n"/>
      <c r="I45" s="31" t="n"/>
      <c r="J45" s="32" t="n"/>
      <c r="K45" s="29" t="n"/>
      <c r="L45" s="33">
        <f>IF(OR(I45="",K45="",K45=0),"",I45/K45)</f>
        <v/>
      </c>
      <c r="M45" s="33">
        <f>IF(OR(I45="",J45=""),"",I45*J45)</f>
        <v/>
      </c>
      <c r="N45" s="29" t="n"/>
      <c r="O45" s="32" t="n"/>
      <c r="P45" s="33">
        <f>IF(OR(L45="",O45=""),"",L45*O45)</f>
        <v/>
      </c>
      <c r="Q45" s="29" t="n"/>
      <c r="R45" s="29" t="n"/>
    </row>
    <row r="46">
      <c r="A46" s="29">
        <f>IF(D46="","","BD-2026-"&amp;TEXT(ROW()-4,"000"))</f>
        <v/>
      </c>
      <c r="B46" s="30" t="n"/>
      <c r="C46" s="29" t="n"/>
      <c r="D46" s="29" t="n"/>
      <c r="E46" s="29" t="n"/>
      <c r="F46" s="29" t="n"/>
      <c r="G46" s="29" t="n"/>
      <c r="H46" s="29" t="n"/>
      <c r="I46" s="31" t="n"/>
      <c r="J46" s="32" t="n"/>
      <c r="K46" s="29" t="n"/>
      <c r="L46" s="33">
        <f>IF(OR(I46="",K46="",K46=0),"",I46/K46)</f>
        <v/>
      </c>
      <c r="M46" s="33">
        <f>IF(OR(I46="",J46=""),"",I46*J46)</f>
        <v/>
      </c>
      <c r="N46" s="29" t="n"/>
      <c r="O46" s="32" t="n"/>
      <c r="P46" s="33">
        <f>IF(OR(L46="",O46=""),"",L46*O46)</f>
        <v/>
      </c>
      <c r="Q46" s="29" t="n"/>
      <c r="R46" s="29" t="n"/>
    </row>
    <row r="47">
      <c r="A47" s="29">
        <f>IF(D47="","","BD-2026-"&amp;TEXT(ROW()-4,"000"))</f>
        <v/>
      </c>
      <c r="B47" s="30" t="n"/>
      <c r="C47" s="29" t="n"/>
      <c r="D47" s="29" t="n"/>
      <c r="E47" s="29" t="n"/>
      <c r="F47" s="29" t="n"/>
      <c r="G47" s="29" t="n"/>
      <c r="H47" s="29" t="n"/>
      <c r="I47" s="31" t="n"/>
      <c r="J47" s="32" t="n"/>
      <c r="K47" s="29" t="n"/>
      <c r="L47" s="33">
        <f>IF(OR(I47="",K47="",K47=0),"",I47/K47)</f>
        <v/>
      </c>
      <c r="M47" s="33">
        <f>IF(OR(I47="",J47=""),"",I47*J47)</f>
        <v/>
      </c>
      <c r="N47" s="29" t="n"/>
      <c r="O47" s="32" t="n"/>
      <c r="P47" s="33">
        <f>IF(OR(L47="",O47=""),"",L47*O47)</f>
        <v/>
      </c>
      <c r="Q47" s="29" t="n"/>
      <c r="R47" s="29" t="n"/>
    </row>
    <row r="48">
      <c r="A48" s="29">
        <f>IF(D48="","","BD-2026-"&amp;TEXT(ROW()-4,"000"))</f>
        <v/>
      </c>
      <c r="B48" s="30" t="n"/>
      <c r="C48" s="29" t="n"/>
      <c r="D48" s="29" t="n"/>
      <c r="E48" s="29" t="n"/>
      <c r="F48" s="29" t="n"/>
      <c r="G48" s="29" t="n"/>
      <c r="H48" s="29" t="n"/>
      <c r="I48" s="31" t="n"/>
      <c r="J48" s="32" t="n"/>
      <c r="K48" s="29" t="n"/>
      <c r="L48" s="33">
        <f>IF(OR(I48="",K48="",K48=0),"",I48/K48)</f>
        <v/>
      </c>
      <c r="M48" s="33">
        <f>IF(OR(I48="",J48=""),"",I48*J48)</f>
        <v/>
      </c>
      <c r="N48" s="29" t="n"/>
      <c r="O48" s="32" t="n"/>
      <c r="P48" s="33">
        <f>IF(OR(L48="",O48=""),"",L48*O48)</f>
        <v/>
      </c>
      <c r="Q48" s="29" t="n"/>
      <c r="R48" s="29" t="n"/>
    </row>
    <row r="49">
      <c r="A49" s="29">
        <f>IF(D49="","","BD-2026-"&amp;TEXT(ROW()-4,"000"))</f>
        <v/>
      </c>
      <c r="B49" s="30" t="n"/>
      <c r="C49" s="29" t="n"/>
      <c r="D49" s="29" t="n"/>
      <c r="E49" s="29" t="n"/>
      <c r="F49" s="29" t="n"/>
      <c r="G49" s="29" t="n"/>
      <c r="H49" s="29" t="n"/>
      <c r="I49" s="31" t="n"/>
      <c r="J49" s="32" t="n"/>
      <c r="K49" s="29" t="n"/>
      <c r="L49" s="33">
        <f>IF(OR(I49="",K49="",K49=0),"",I49/K49)</f>
        <v/>
      </c>
      <c r="M49" s="33">
        <f>IF(OR(I49="",J49=""),"",I49*J49)</f>
        <v/>
      </c>
      <c r="N49" s="29" t="n"/>
      <c r="O49" s="32" t="n"/>
      <c r="P49" s="33">
        <f>IF(OR(L49="",O49=""),"",L49*O49)</f>
        <v/>
      </c>
      <c r="Q49" s="29" t="n"/>
      <c r="R49" s="29" t="n"/>
    </row>
    <row r="50">
      <c r="A50" s="29">
        <f>IF(D50="","","BD-2026-"&amp;TEXT(ROW()-4,"000"))</f>
        <v/>
      </c>
      <c r="B50" s="30" t="n"/>
      <c r="C50" s="29" t="n"/>
      <c r="D50" s="29" t="n"/>
      <c r="E50" s="29" t="n"/>
      <c r="F50" s="29" t="n"/>
      <c r="G50" s="29" t="n"/>
      <c r="H50" s="29" t="n"/>
      <c r="I50" s="31" t="n"/>
      <c r="J50" s="32" t="n"/>
      <c r="K50" s="29" t="n"/>
      <c r="L50" s="33">
        <f>IF(OR(I50="",K50="",K50=0),"",I50/K50)</f>
        <v/>
      </c>
      <c r="M50" s="33">
        <f>IF(OR(I50="",J50=""),"",I50*J50)</f>
        <v/>
      </c>
      <c r="N50" s="29" t="n"/>
      <c r="O50" s="32" t="n"/>
      <c r="P50" s="33">
        <f>IF(OR(L50="",O50=""),"",L50*O50)</f>
        <v/>
      </c>
      <c r="Q50" s="29" t="n"/>
      <c r="R50" s="29" t="n"/>
    </row>
    <row r="51">
      <c r="A51" s="29">
        <f>IF(D51="","","BD-2026-"&amp;TEXT(ROW()-4,"000"))</f>
        <v/>
      </c>
      <c r="B51" s="30" t="n"/>
      <c r="C51" s="29" t="n"/>
      <c r="D51" s="29" t="n"/>
      <c r="E51" s="29" t="n"/>
      <c r="F51" s="29" t="n"/>
      <c r="G51" s="29" t="n"/>
      <c r="H51" s="29" t="n"/>
      <c r="I51" s="31" t="n"/>
      <c r="J51" s="32" t="n"/>
      <c r="K51" s="29" t="n"/>
      <c r="L51" s="33">
        <f>IF(OR(I51="",K51="",K51=0),"",I51/K51)</f>
        <v/>
      </c>
      <c r="M51" s="33">
        <f>IF(OR(I51="",J51=""),"",I51*J51)</f>
        <v/>
      </c>
      <c r="N51" s="29" t="n"/>
      <c r="O51" s="32" t="n"/>
      <c r="P51" s="33">
        <f>IF(OR(L51="",O51=""),"",L51*O51)</f>
        <v/>
      </c>
      <c r="Q51" s="29" t="n"/>
      <c r="R51" s="29" t="n"/>
    </row>
    <row r="52">
      <c r="A52" s="29">
        <f>IF(D52="","","BD-2026-"&amp;TEXT(ROW()-4,"000"))</f>
        <v/>
      </c>
      <c r="B52" s="30" t="n"/>
      <c r="C52" s="29" t="n"/>
      <c r="D52" s="29" t="n"/>
      <c r="E52" s="29" t="n"/>
      <c r="F52" s="29" t="n"/>
      <c r="G52" s="29" t="n"/>
      <c r="H52" s="29" t="n"/>
      <c r="I52" s="31" t="n"/>
      <c r="J52" s="32" t="n"/>
      <c r="K52" s="29" t="n"/>
      <c r="L52" s="33">
        <f>IF(OR(I52="",K52="",K52=0),"",I52/K52)</f>
        <v/>
      </c>
      <c r="M52" s="33">
        <f>IF(OR(I52="",J52=""),"",I52*J52)</f>
        <v/>
      </c>
      <c r="N52" s="29" t="n"/>
      <c r="O52" s="32" t="n"/>
      <c r="P52" s="33">
        <f>IF(OR(L52="",O52=""),"",L52*O52)</f>
        <v/>
      </c>
      <c r="Q52" s="29" t="n"/>
      <c r="R52" s="29" t="n"/>
    </row>
    <row r="53">
      <c r="A53" s="29">
        <f>IF(D53="","","BD-2026-"&amp;TEXT(ROW()-4,"000"))</f>
        <v/>
      </c>
      <c r="B53" s="30" t="n"/>
      <c r="C53" s="29" t="n"/>
      <c r="D53" s="29" t="n"/>
      <c r="E53" s="29" t="n"/>
      <c r="F53" s="29" t="n"/>
      <c r="G53" s="29" t="n"/>
      <c r="H53" s="29" t="n"/>
      <c r="I53" s="31" t="n"/>
      <c r="J53" s="32" t="n"/>
      <c r="K53" s="29" t="n"/>
      <c r="L53" s="33">
        <f>IF(OR(I53="",K53="",K53=0),"",I53/K53)</f>
        <v/>
      </c>
      <c r="M53" s="33">
        <f>IF(OR(I53="",J53=""),"",I53*J53)</f>
        <v/>
      </c>
      <c r="N53" s="29" t="n"/>
      <c r="O53" s="32" t="n"/>
      <c r="P53" s="33">
        <f>IF(OR(L53="",O53=""),"",L53*O53)</f>
        <v/>
      </c>
      <c r="Q53" s="29" t="n"/>
      <c r="R53" s="29" t="n"/>
    </row>
    <row r="54">
      <c r="A54" s="29">
        <f>IF(D54="","","BD-2026-"&amp;TEXT(ROW()-4,"000"))</f>
        <v/>
      </c>
      <c r="B54" s="30" t="n"/>
      <c r="C54" s="29" t="n"/>
      <c r="D54" s="29" t="n"/>
      <c r="E54" s="29" t="n"/>
      <c r="F54" s="29" t="n"/>
      <c r="G54" s="29" t="n"/>
      <c r="H54" s="29" t="n"/>
      <c r="I54" s="31" t="n"/>
      <c r="J54" s="32" t="n"/>
      <c r="K54" s="29" t="n"/>
      <c r="L54" s="33">
        <f>IF(OR(I54="",K54="",K54=0),"",I54/K54)</f>
        <v/>
      </c>
      <c r="M54" s="33">
        <f>IF(OR(I54="",J54=""),"",I54*J54)</f>
        <v/>
      </c>
      <c r="N54" s="29" t="n"/>
      <c r="O54" s="32" t="n"/>
      <c r="P54" s="33">
        <f>IF(OR(L54="",O54=""),"",L54*O54)</f>
        <v/>
      </c>
      <c r="Q54" s="29" t="n"/>
      <c r="R54" s="29" t="n"/>
    </row>
  </sheetData>
  <autoFilter ref="A4:R54"/>
  <mergeCells count="2">
    <mergeCell ref="A2:R2"/>
    <mergeCell ref="A1:R1"/>
  </mergeCells>
  <dataValidations count="2">
    <dataValidation sqref="N5:N54" showDropDown="0" showInputMessage="0" showErrorMessage="0" allowBlank="1" type="list">
      <formula1>"Lead,Prequal,Tender,Preferred,Won,Lost,On Hold"</formula1>
    </dataValidation>
    <dataValidation sqref="G5:G54" showDropDown="0" showInputMessage="0" showErrorMessage="0" allowBlank="1" type="list">
      <formula1>"Specific,National Coverage"</formula1>
    </dataValidation>
  </dataValidations>
  <pageMargins left="0.4" right="0.4" top="1" bottom="1" header="0.5" footer="0.5"/>
  <pageSetup orientation="landscape" fitToHeight="0" fitToWidth="1"/>
  <headerFooter>
    <oddHeader>&amp;CTreun Roc Contracts — CONFIDENTIAL</oddHeader>
    <oddFooter>&amp;CPage &amp;P of &amp;N | TR Connect Board Forecast&amp;R17 Sep 2026</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X9"/>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32" customWidth="1" min="3" max="3"/>
    <col width="14" customWidth="1" min="4" max="4"/>
    <col width="10" customWidth="1" min="5" max="5"/>
    <col width="1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s>
  <sheetData>
    <row r="1" ht="32" customHeight="1">
      <c r="A1" s="1" t="inlineStr">
        <is>
          <t>PIPELINE FORECAST — 18-MONTH MONTHLY IMPACT</t>
        </is>
      </c>
      <c r="B1" s="2" t="n"/>
      <c r="C1" s="2" t="n"/>
      <c r="D1" s="2" t="n"/>
      <c r="E1" s="2" t="n"/>
      <c r="F1" s="2" t="n"/>
      <c r="G1" s="2" t="n"/>
      <c r="H1" s="2" t="n"/>
      <c r="I1" s="2" t="n"/>
      <c r="J1" s="2" t="n"/>
      <c r="K1" s="2" t="n"/>
      <c r="L1" s="2" t="n"/>
      <c r="M1" s="2" t="n"/>
      <c r="N1" s="2" t="n"/>
      <c r="O1" s="2" t="n"/>
      <c r="P1" s="2" t="n"/>
    </row>
    <row r="2">
      <c r="A2" s="19" t="inlineStr">
        <is>
          <t>Each lead’s Monthly Impact (£/week of programme) is placed across months from Start Month for Duration weeks. Edit Start Month on Quick BD via Notes or set below. Default: current month for SAMPLE rows.</t>
        </is>
      </c>
    </row>
    <row r="4" ht="36" customHeight="1">
      <c r="A4" s="22" t="inlineStr">
        <is>
          <t>BD Ref</t>
        </is>
      </c>
      <c r="B4" s="22" t="inlineStr">
        <is>
          <t>Client</t>
        </is>
      </c>
      <c r="C4" s="22" t="inlineStr">
        <is>
          <t>Project</t>
        </is>
      </c>
      <c r="D4" s="22" t="inlineStr">
        <is>
          <t>Monthly Impact £</t>
        </is>
      </c>
      <c r="E4" s="22" t="inlineStr">
        <is>
          <t>Duration (wks)</t>
        </is>
      </c>
      <c r="F4" s="22" t="inlineStr">
        <is>
          <t>Stage</t>
        </is>
      </c>
      <c r="G4" s="22" t="inlineStr">
        <is>
          <t>Sep-26</t>
        </is>
      </c>
      <c r="H4" s="22" t="inlineStr">
        <is>
          <t>Oct-26</t>
        </is>
      </c>
      <c r="I4" s="22" t="inlineStr">
        <is>
          <t>Nov-26</t>
        </is>
      </c>
      <c r="J4" s="22" t="inlineStr">
        <is>
          <t>Dec-26</t>
        </is>
      </c>
      <c r="K4" s="22" t="inlineStr">
        <is>
          <t>Jan-27</t>
        </is>
      </c>
      <c r="L4" s="22" t="inlineStr">
        <is>
          <t>Feb-27</t>
        </is>
      </c>
      <c r="M4" s="22" t="inlineStr">
        <is>
          <t>Mar-27</t>
        </is>
      </c>
      <c r="N4" s="22" t="inlineStr">
        <is>
          <t>Apr-27</t>
        </is>
      </c>
      <c r="O4" s="22" t="inlineStr">
        <is>
          <t>May-27</t>
        </is>
      </c>
      <c r="P4" s="22" t="inlineStr">
        <is>
          <t>Jun-27</t>
        </is>
      </c>
      <c r="Q4" s="22" t="inlineStr">
        <is>
          <t>Jul-27</t>
        </is>
      </c>
      <c r="R4" s="22" t="inlineStr">
        <is>
          <t>Aug-27</t>
        </is>
      </c>
      <c r="S4" s="22" t="inlineStr">
        <is>
          <t>Sep-27</t>
        </is>
      </c>
      <c r="T4" s="22" t="inlineStr">
        <is>
          <t>Oct-27</t>
        </is>
      </c>
      <c r="U4" s="22" t="inlineStr">
        <is>
          <t>Nov-27</t>
        </is>
      </c>
      <c r="V4" s="22" t="inlineStr">
        <is>
          <t>Dec-27</t>
        </is>
      </c>
      <c r="W4" s="22" t="inlineStr">
        <is>
          <t>Jan-28</t>
        </is>
      </c>
      <c r="X4" s="22" t="inlineStr">
        <is>
          <t>Feb-28</t>
        </is>
      </c>
    </row>
    <row r="5">
      <c r="A5" s="34" t="inlineStr">
        <is>
          <t>BD-2026-001</t>
        </is>
      </c>
      <c r="B5" s="34" t="inlineStr">
        <is>
          <t>SAMPLE — National Rail framework enquiry</t>
        </is>
      </c>
      <c r="C5" s="34" t="inlineStr">
        <is>
          <t>Station canopy renewals — Phase 1</t>
        </is>
      </c>
      <c r="D5" s="35">
        <f>'Quick BD Input'!L5</f>
        <v/>
      </c>
      <c r="E5" s="34">
        <f>'Quick BD Input'!K5</f>
        <v/>
      </c>
      <c r="F5" s="34">
        <f>'Quick BD Input'!N5</f>
        <v/>
      </c>
      <c r="G5" s="33">
        <f>IF($D5="","",$D5)</f>
        <v/>
      </c>
      <c r="H5" s="33">
        <f>IF($D5="","",$D5)</f>
        <v/>
      </c>
      <c r="I5" s="33">
        <f>IF($D5="","",$D5)</f>
        <v/>
      </c>
      <c r="J5" s="33">
        <f>IF($D5="","",$D5)</f>
        <v/>
      </c>
      <c r="K5" s="33">
        <f>IF($D5="","",$D5)</f>
        <v/>
      </c>
      <c r="L5" s="33">
        <f>IF($D5="","",$D5)</f>
        <v/>
      </c>
      <c r="M5" s="33">
        <f>IF($D5="","",$D5)</f>
        <v/>
      </c>
      <c r="N5" s="33">
        <f>IF($D5="","",$D5)</f>
        <v/>
      </c>
      <c r="O5" s="33">
        <f>IF($D5="","",$D5)</f>
        <v/>
      </c>
      <c r="P5" s="33">
        <f>IF($D5="","",$D5)</f>
        <v/>
      </c>
      <c r="Q5" s="33">
        <f>IF($D5="","",$D5)</f>
        <v/>
      </c>
      <c r="R5" s="33">
        <f>IF($D5="","",$D5)</f>
        <v/>
      </c>
      <c r="S5" s="36" t="n"/>
      <c r="T5" s="36" t="n"/>
      <c r="U5" s="36" t="n"/>
      <c r="V5" s="36" t="n"/>
      <c r="W5" s="36" t="n"/>
      <c r="X5" s="36" t="n"/>
    </row>
    <row r="6">
      <c r="A6" s="34" t="inlineStr">
        <is>
          <t>BD-2026-002</t>
        </is>
      </c>
      <c r="B6" s="34" t="inlineStr">
        <is>
          <t>SAMPLE — Regional healthcare trust</t>
        </is>
      </c>
      <c r="C6" s="34" t="inlineStr">
        <is>
          <t>Acute ward refurbishment package</t>
        </is>
      </c>
      <c r="D6" s="35">
        <f>'Quick BD Input'!L6</f>
        <v/>
      </c>
      <c r="E6" s="34">
        <f>'Quick BD Input'!K6</f>
        <v/>
      </c>
      <c r="F6" s="34">
        <f>'Quick BD Input'!N6</f>
        <v/>
      </c>
      <c r="G6" s="33">
        <f>IF($D6="","",$D6)</f>
        <v/>
      </c>
      <c r="H6" s="33">
        <f>IF($D6="","",$D6)</f>
        <v/>
      </c>
      <c r="I6" s="33">
        <f>IF($D6="","",$D6)</f>
        <v/>
      </c>
      <c r="J6" s="33">
        <f>IF($D6="","",$D6)</f>
        <v/>
      </c>
      <c r="K6" s="33">
        <f>IF($D6="","",$D6)</f>
        <v/>
      </c>
      <c r="L6" s="33">
        <f>IF($D6="","",$D6)</f>
        <v/>
      </c>
      <c r="M6" s="33">
        <f>IF($D6="","",$D6)</f>
        <v/>
      </c>
      <c r="N6" s="33">
        <f>IF($D6="","",$D6)</f>
        <v/>
      </c>
      <c r="O6" s="33">
        <f>IF($D6="","",$D6)</f>
        <v/>
      </c>
      <c r="P6" s="33">
        <f>IF($D6="","",$D6)</f>
        <v/>
      </c>
      <c r="Q6" s="36" t="n"/>
      <c r="R6" s="36" t="n"/>
      <c r="S6" s="36" t="n"/>
      <c r="T6" s="36" t="n"/>
      <c r="U6" s="36" t="n"/>
      <c r="V6" s="36" t="n"/>
      <c r="W6" s="36" t="n"/>
      <c r="X6" s="36" t="n"/>
    </row>
    <row r="7">
      <c r="A7" s="34" t="inlineStr">
        <is>
          <t>BD-2026-003</t>
        </is>
      </c>
      <c r="B7" s="34" t="inlineStr">
        <is>
          <t>SAMPLE — Logistics developer</t>
        </is>
      </c>
      <c r="C7" s="34" t="inlineStr">
        <is>
          <t>Cold-store shell &amp; core (unit 4)</t>
        </is>
      </c>
      <c r="D7" s="35">
        <f>'Quick BD Input'!L7</f>
        <v/>
      </c>
      <c r="E7" s="34">
        <f>'Quick BD Input'!K7</f>
        <v/>
      </c>
      <c r="F7" s="34">
        <f>'Quick BD Input'!N7</f>
        <v/>
      </c>
      <c r="G7" s="33">
        <f>IF($D7="","",$D7)</f>
        <v/>
      </c>
      <c r="H7" s="33">
        <f>IF($D7="","",$D7)</f>
        <v/>
      </c>
      <c r="I7" s="33">
        <f>IF($D7="","",$D7)</f>
        <v/>
      </c>
      <c r="J7" s="33">
        <f>IF($D7="","",$D7)</f>
        <v/>
      </c>
      <c r="K7" s="33">
        <f>IF($D7="","",$D7)</f>
        <v/>
      </c>
      <c r="L7" s="33">
        <f>IF($D7="","",$D7)</f>
        <v/>
      </c>
      <c r="M7" s="33">
        <f>IF($D7="","",$D7)</f>
        <v/>
      </c>
      <c r="N7" s="36" t="n"/>
      <c r="O7" s="36" t="n"/>
      <c r="P7" s="36" t="n"/>
      <c r="Q7" s="36" t="n"/>
      <c r="R7" s="36" t="n"/>
      <c r="S7" s="36" t="n"/>
      <c r="T7" s="36" t="n"/>
      <c r="U7" s="36" t="n"/>
      <c r="V7" s="36" t="n"/>
      <c r="W7" s="36" t="n"/>
      <c r="X7" s="36" t="n"/>
    </row>
    <row r="8">
      <c r="A8" s="34" t="inlineStr">
        <is>
          <t>BD-2026-004</t>
        </is>
      </c>
      <c r="B8" s="34" t="inlineStr">
        <is>
          <t>SAMPLE — Local authority education</t>
        </is>
      </c>
      <c r="C8" s="34" t="inlineStr">
        <is>
          <t>SEND school expansion</t>
        </is>
      </c>
      <c r="D8" s="35">
        <f>'Quick BD Input'!L8</f>
        <v/>
      </c>
      <c r="E8" s="34">
        <f>'Quick BD Input'!K8</f>
        <v/>
      </c>
      <c r="F8" s="34">
        <f>'Quick BD Input'!N8</f>
        <v/>
      </c>
      <c r="G8" s="33">
        <f>IF($D8="","",$D8)</f>
        <v/>
      </c>
      <c r="H8" s="33">
        <f>IF($D8="","",$D8)</f>
        <v/>
      </c>
      <c r="I8" s="33">
        <f>IF($D8="","",$D8)</f>
        <v/>
      </c>
      <c r="J8" s="33">
        <f>IF($D8="","",$D8)</f>
        <v/>
      </c>
      <c r="K8" s="33">
        <f>IF($D8="","",$D8)</f>
        <v/>
      </c>
      <c r="L8" s="33">
        <f>IF($D8="","",$D8)</f>
        <v/>
      </c>
      <c r="M8" s="33">
        <f>IF($D8="","",$D8)</f>
        <v/>
      </c>
      <c r="N8" s="33">
        <f>IF($D8="","",$D8)</f>
        <v/>
      </c>
      <c r="O8" s="33">
        <f>IF($D8="","",$D8)</f>
        <v/>
      </c>
      <c r="P8" s="33">
        <f>IF($D8="","",$D8)</f>
        <v/>
      </c>
      <c r="Q8" s="33">
        <f>IF($D8="","",$D8)</f>
        <v/>
      </c>
      <c r="R8" s="33">
        <f>IF($D8="","",$D8)</f>
        <v/>
      </c>
      <c r="S8" s="33">
        <f>IF($D8="","",$D8)</f>
        <v/>
      </c>
      <c r="T8" s="33">
        <f>IF($D8="","",$D8)</f>
        <v/>
      </c>
      <c r="U8" s="36" t="n"/>
      <c r="V8" s="36" t="n"/>
      <c r="W8" s="36" t="n"/>
      <c r="X8" s="36" t="n"/>
    </row>
    <row r="9">
      <c r="A9" s="37" t="inlineStr">
        <is>
          <t>TOTAL MONTHLY IMPACT</t>
        </is>
      </c>
      <c r="G9" s="38">
        <f>SUM(G5:G8)</f>
        <v/>
      </c>
      <c r="H9" s="38">
        <f>SUM(H5:H8)</f>
        <v/>
      </c>
      <c r="I9" s="38">
        <f>SUM(I5:I8)</f>
        <v/>
      </c>
      <c r="J9" s="38">
        <f>SUM(J5:J8)</f>
        <v/>
      </c>
      <c r="K9" s="38">
        <f>SUM(K5:K8)</f>
        <v/>
      </c>
      <c r="L9" s="38">
        <f>SUM(L5:L8)</f>
        <v/>
      </c>
      <c r="M9" s="38">
        <f>SUM(M5:M8)</f>
        <v/>
      </c>
      <c r="N9" s="38">
        <f>SUM(N5:N8)</f>
        <v/>
      </c>
      <c r="O9" s="38">
        <f>SUM(O5:O8)</f>
        <v/>
      </c>
      <c r="P9" s="38">
        <f>SUM(P5:P8)</f>
        <v/>
      </c>
      <c r="Q9" s="38">
        <f>SUM(Q5:Q8)</f>
        <v/>
      </c>
      <c r="R9" s="38">
        <f>SUM(R5:R8)</f>
        <v/>
      </c>
      <c r="S9" s="38">
        <f>SUM(S5:S8)</f>
        <v/>
      </c>
      <c r="T9" s="38">
        <f>SUM(T5:T8)</f>
        <v/>
      </c>
      <c r="U9" s="38">
        <f>SUM(U5:U8)</f>
        <v/>
      </c>
      <c r="V9" s="38">
        <f>SUM(V5:V8)</f>
        <v/>
      </c>
      <c r="W9" s="38">
        <f>SUM(W5:W8)</f>
        <v/>
      </c>
      <c r="X9" s="38">
        <f>SUM(X5:X8)</f>
        <v/>
      </c>
    </row>
  </sheetData>
  <mergeCells count="3">
    <mergeCell ref="A9:C9"/>
    <mergeCell ref="A1:P1"/>
    <mergeCell ref="A2:P2"/>
  </mergeCells>
  <pageMargins left="0.4" right="0.4" top="1" bottom="1" header="0.5" footer="0.5"/>
  <pageSetup orientation="landscape" fitToHeight="0" fitToWidth="1"/>
  <headerFooter>
    <oddHeader>&amp;CTreun Roc Contracts — CONFIDENTIAL</oddHeader>
    <oddFooter>&amp;CPage &amp;P of &amp;N | TR Connect Board Forecast&amp;R17 Sep 2026</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H22"/>
  <sheetViews>
    <sheetView workbookViewId="0">
      <selection activeCell="A1" sqref="A1"/>
    </sheetView>
  </sheetViews>
  <sheetFormatPr baseColWidth="8" defaultRowHeight="15"/>
  <cols>
    <col width="18" customWidth="1" min="1" max="1"/>
    <col width="28" customWidth="1" min="2" max="2"/>
    <col width="36" customWidth="1" min="3" max="3"/>
    <col width="28" customWidth="1" min="4" max="4"/>
    <col width="28" customWidth="1" min="5" max="5"/>
  </cols>
  <sheetData>
    <row r="1" ht="32" customHeight="1">
      <c r="A1" s="1" t="inlineStr">
        <is>
          <t>STAGE GATE — CONNECT PROCESS JOURNEY</t>
        </is>
      </c>
      <c r="B1" s="2" t="n"/>
      <c r="C1" s="2" t="n"/>
      <c r="D1" s="2" t="n"/>
      <c r="E1" s="2" t="n"/>
      <c r="F1" s="2" t="n"/>
      <c r="G1" s="2" t="n"/>
      <c r="H1" s="2" t="n"/>
    </row>
    <row r="3">
      <c r="A3" s="9" t="inlineStr">
        <is>
          <t>Intended flow</t>
        </is>
      </c>
    </row>
    <row r="4">
      <c r="A4" s="39" t="inlineStr">
        <is>
          <t>Quick BD (#/bd) → Tenders / Quotes → Jobs board statuses QUOTED → TENDERED → UPCOMING → LIVE → SNAGGING → COMPLETED → Hours / Progress / Receipts → Invoices / Statements. Mail sits alongside (pin to job).</t>
        </is>
      </c>
    </row>
    <row r="5"/>
    <row r="7" ht="36" customHeight="1">
      <c r="A7" s="22" t="inlineStr">
        <is>
          <t>Stage</t>
        </is>
      </c>
      <c r="B7" s="22" t="inlineStr">
        <is>
          <t>Connect surface</t>
        </is>
      </c>
      <c r="C7" s="22" t="inlineStr">
        <is>
          <t>State (honest)</t>
        </is>
      </c>
      <c r="D7" s="22" t="inlineStr">
        <is>
          <t>Link-up</t>
        </is>
      </c>
      <c r="E7" s="22" t="inlineStr">
        <is>
          <t>Owner action</t>
        </is>
      </c>
    </row>
    <row r="8" ht="36" customHeight="1">
      <c r="A8" s="40" t="inlineStr">
        <is>
          <t>1. Capture</t>
        </is>
      </c>
      <c r="B8" s="40" t="inlineStr">
        <is>
          <t>Quick BD #/bd + Tenders</t>
        </is>
      </c>
      <c r="C8" s="40" t="inlineStr">
        <is>
          <t>WIRING (MD HARD)</t>
        </is>
      </c>
      <c r="D8" s="40" t="inlineStr">
        <is>
          <t>Creates job QUOTED + BD meta</t>
        </is>
      </c>
      <c r="E8" s="40" t="inlineStr">
        <is>
          <t>Ship form + store fields</t>
        </is>
      </c>
    </row>
    <row r="9" ht="36" customHeight="1">
      <c r="A9" s="41" t="inlineStr">
        <is>
          <t>2. Bid</t>
        </is>
      </c>
      <c r="B9" s="41" t="inlineStr">
        <is>
          <t>Quotes / Tenders</t>
        </is>
      </c>
      <c r="C9" s="41" t="inlineStr">
        <is>
          <t>Quotes thin; Tenders stub in src / stronger on live desk</t>
        </is>
      </c>
      <c r="D9" s="41" t="inlineStr">
        <is>
          <t>Two desks — pick one start</t>
        </is>
      </c>
      <c r="E9" s="41" t="inlineStr">
        <is>
          <t>Unify entry via Quick BD</t>
        </is>
      </c>
    </row>
    <row r="10" ht="36" customHeight="1">
      <c r="A10" s="40" t="inlineStr">
        <is>
          <t>3. Win → programme</t>
        </is>
      </c>
      <c r="B10" s="40" t="inlineStr">
        <is>
          <t>Jobs #/jobs 6-col board</t>
        </is>
      </c>
      <c r="C10" s="40" t="inlineStr">
        <is>
          <t>LIVE — setJobStatus</t>
        </is>
      </c>
      <c r="D10" s="40" t="inlineStr">
        <is>
          <t>addJob defaulted UPCOMING (gap)</t>
        </is>
      </c>
      <c r="E10" s="40" t="inlineStr">
        <is>
          <t>BD save → status QUOTED</t>
        </is>
      </c>
    </row>
    <row r="11" ht="36" customHeight="1">
      <c r="A11" s="41" t="inlineStr">
        <is>
          <t>4. Deliver</t>
        </is>
      </c>
      <c r="B11" s="41" t="inlineStr">
        <is>
          <t>Job detail / site / hours / progress</t>
        </is>
      </c>
      <c r="C11" s="41" t="inlineStr">
        <is>
          <t>Present; depth varies</t>
        </is>
      </c>
      <c r="D11" s="41" t="inlineStr">
        <is>
          <t>Job file is spine</t>
        </is>
      </c>
      <c r="E11" s="41" t="inlineStr">
        <is>
          <t>Keep board truthful daily</t>
        </is>
      </c>
    </row>
    <row r="12" ht="36" customHeight="1">
      <c r="A12" s="40" t="inlineStr">
        <is>
          <t>5. Cash</t>
        </is>
      </c>
      <c r="B12" s="40" t="inlineStr">
        <is>
          <t>Invoices / statements</t>
        </is>
      </c>
      <c r="C12" s="40" t="inlineStr">
        <is>
          <t>Present; Xero gap</t>
        </is>
      </c>
      <c r="D12" s="40" t="inlineStr">
        <is>
          <t>Hours→VAT invoice incomplete</t>
        </is>
      </c>
      <c r="E12" s="40" t="inlineStr">
        <is>
          <t>Licence-bar P3 later</t>
        </is>
      </c>
    </row>
    <row r="13" ht="36" customHeight="1">
      <c r="A13" s="41" t="inlineStr">
        <is>
          <t>6. Mail</t>
        </is>
      </c>
      <c r="B13" s="41" t="inlineStr">
        <is>
          <t>#/mail + /mail-feed</t>
        </is>
      </c>
      <c r="C13" s="41" t="inlineStr">
        <is>
          <t>LIVE static Graph feed (80)</t>
        </is>
      </c>
      <c r="D13" s="41" t="inlineStr">
        <is>
          <t>No auto job pin yet</t>
        </is>
      </c>
      <c r="E13" s="41" t="inlineStr">
        <is>
          <t>Manual pin; job-link later</t>
        </is>
      </c>
    </row>
    <row r="14" ht="36" customHeight="1">
      <c r="A14" s="40" t="inlineStr">
        <is>
          <t>7. Auth / tenancy</t>
        </is>
      </c>
      <c r="B14" s="40" t="inlineStr">
        <is>
          <t>staff-auth + live.json</t>
        </is>
      </c>
      <c r="C14" s="40" t="inlineStr">
        <is>
          <t>Interim tunnel; P1 tenantId</t>
        </is>
      </c>
      <c r="D14" s="40" t="inlineStr">
        <is>
          <t>Door browser GATE pending</t>
        </is>
      </c>
      <c r="E14" s="40" t="inlineStr">
        <is>
          <t>Durable host + users</t>
        </is>
      </c>
    </row>
    <row r="15" ht="36" customHeight="1">
      <c r="A15" s="41" t="inlineStr">
        <is>
          <t>8. Board forecast</t>
        </is>
      </c>
      <c r="B15" s="41" t="inlineStr">
        <is>
          <t>Export .xlsx</t>
        </is>
      </c>
      <c r="C15" s="41" t="inlineStr">
        <is>
          <t>THIS workbook</t>
        </is>
      </c>
      <c r="D15" s="41" t="inlineStr">
        <is>
          <t>Export from Jobs/Monitor</t>
        </is>
      </c>
      <c r="E15" s="41" t="inlineStr">
        <is>
          <t>Wire download button</t>
        </is>
      </c>
    </row>
    <row r="17">
      <c r="A17" s="9" t="inlineStr">
        <is>
          <t>Sense-check top gaps (2026-09-17)</t>
        </is>
      </c>
    </row>
    <row r="18">
      <c r="A18" s="17" t="inlineStr">
        <is>
          <t>1. No Quick BD form live yet — capture gap for new business.</t>
        </is>
      </c>
    </row>
    <row r="19">
      <c r="A19" s="17" t="inlineStr">
        <is>
          <t>2. Tenders vs Quotes split confuses pipeline start.</t>
        </is>
      </c>
    </row>
    <row r="20">
      <c r="A20" s="17" t="inlineStr">
        <is>
          <t>3. addJob defaults UPCOMING — BD should land QUOTED first.</t>
        </is>
      </c>
    </row>
    <row r="21">
      <c r="A21" s="17" t="inlineStr">
        <is>
          <t>4. Mail → job auto-link missing.</t>
        </is>
      </c>
    </row>
    <row r="22">
      <c r="A22" s="17" t="inlineStr">
        <is>
          <t>5. Quote → Job one-click win handoff unclear.</t>
        </is>
      </c>
    </row>
  </sheetData>
  <mergeCells count="2">
    <mergeCell ref="A4:H5"/>
    <mergeCell ref="A1:H1"/>
  </mergeCells>
  <pageMargins left="0.4" right="0.4" top="1" bottom="1" header="0.5" footer="0.5"/>
  <pageSetup orientation="landscape" fitToHeight="0" fitToWidth="1"/>
  <headerFooter>
    <oddHeader>&amp;CTreun Roc Contracts — CONFIDENTIAL</oddHeader>
    <oddFooter>&amp;CPage &amp;P of &amp;N | TR Connect Board Forecast&amp;R17 Sep 2026</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18"/>
  <sheetViews>
    <sheetView workbookViewId="0">
      <selection activeCell="A1" sqref="A1"/>
    </sheetView>
  </sheetViews>
  <sheetFormatPr baseColWidth="8" defaultRowHeight="15"/>
  <cols>
    <col width="22" customWidth="1" min="1" max="1"/>
    <col width="48" customWidth="1" min="2" max="2"/>
    <col width="48" customWidth="1" min="3" max="3"/>
  </cols>
  <sheetData>
    <row r="1" ht="32" customHeight="1">
      <c r="A1" s="1" t="inlineStr">
        <is>
          <t>ASSUMPTIONS &amp; FORMULA GLOSSARY</t>
        </is>
      </c>
      <c r="B1" s="2" t="n"/>
      <c r="C1" s="2" t="n"/>
      <c r="D1" s="2" t="n"/>
      <c r="E1" s="2" t="n"/>
      <c r="F1" s="2" t="n"/>
    </row>
    <row r="3">
      <c r="A3" s="9" t="inlineStr">
        <is>
          <t>Formula glossary (authoritative)</t>
        </is>
      </c>
    </row>
    <row r="4">
      <c r="A4" s="42" t="inlineStr">
        <is>
          <t>Term</t>
        </is>
      </c>
      <c r="B4" s="42" t="inlineStr">
        <is>
          <t>Definition</t>
        </is>
      </c>
      <c r="C4" s="42" t="inlineStr">
        <is>
          <t>Notes</t>
        </is>
      </c>
    </row>
    <row r="5">
      <c r="A5" s="43" t="inlineStr">
        <is>
          <t>Monthly Impact £</t>
        </is>
      </c>
      <c r="B5" s="34" t="inlineStr">
        <is>
          <t>Est. Annual Turnover ÷ Est. Duration (weeks)</t>
        </is>
      </c>
      <c r="C5" s="34" t="inlineStr">
        <is>
          <t>Ryan lock — £ per week of programme, labelled Monthly Impact</t>
        </is>
      </c>
    </row>
    <row r="6">
      <c r="A6" s="43" t="inlineStr">
        <is>
          <t>Est. Margin £</t>
        </is>
      </c>
      <c r="B6" s="34" t="inlineStr">
        <is>
          <t>Est. Annual Turnover × Est. Margin %</t>
        </is>
      </c>
      <c r="C6" s="34" t="inlineStr">
        <is>
          <t>Gross margin money on the opportunity</t>
        </is>
      </c>
    </row>
    <row r="7">
      <c r="A7" s="43" t="inlineStr">
        <is>
          <t>Weighted Monthly £</t>
        </is>
      </c>
      <c r="B7" s="34" t="inlineStr">
        <is>
          <t>Monthly Impact £ × Probability %</t>
        </is>
      </c>
      <c r="C7" s="34" t="inlineStr">
        <is>
          <t>Risk-adjusted impact for board roll-up</t>
        </is>
      </c>
    </row>
    <row r="8">
      <c r="A8" s="43" t="inlineStr">
        <is>
          <t>Location Type</t>
        </is>
      </c>
      <c r="B8" s="34" t="inlineStr">
        <is>
          <t>Specific OR National Coverage</t>
        </is>
      </c>
      <c r="C8" s="34" t="inlineStr">
        <is>
          <t>Dropdown on Quick BD Input</t>
        </is>
      </c>
    </row>
    <row r="9">
      <c r="A9" s="43" t="inlineStr">
        <is>
          <t>Stage probabilities (default)</t>
        </is>
      </c>
      <c r="B9" s="34" t="inlineStr">
        <is>
          <t>Lead 10% · Prequal 20% · Tender 35% · Preferred 60% · Won 100% · Lost 0% · On Hold 15%</t>
        </is>
      </c>
      <c r="C9" s="34" t="inlineStr">
        <is>
          <t>Override per row</t>
        </is>
      </c>
    </row>
    <row r="10">
      <c r="A10" s="43" t="inlineStr">
        <is>
          <t>Working year</t>
        </is>
      </c>
      <c r="B10" s="34" t="inlineStr">
        <is>
          <t>52 weeks</t>
        </is>
      </c>
      <c r="C10" s="34" t="inlineStr">
        <is>
          <t>Duration measured in calendar weeks</t>
        </is>
      </c>
    </row>
    <row r="11">
      <c r="A11" s="43" t="inlineStr">
        <is>
          <t>Currency</t>
        </is>
      </c>
      <c r="B11" s="34" t="inlineStr">
        <is>
          <t>GBP £</t>
        </is>
      </c>
      <c r="C11" s="34" t="inlineStr">
        <is>
          <t>No FX in this pack</t>
        </is>
      </c>
    </row>
    <row r="14">
      <c r="A14" s="9" t="inlineStr">
        <is>
          <t>Commercial assumptions (edit as needed)</t>
        </is>
      </c>
    </row>
    <row r="15">
      <c r="A15" s="17" t="inlineStr">
        <is>
          <t>Margins are estimated gross margins before overhead recovery unless noted.</t>
        </is>
      </c>
    </row>
    <row r="16">
      <c r="A16" s="17" t="inlineStr">
        <is>
          <t>Annual turnover is the estimated contract value annualised (or total programme value if ≤12 months — state in Notes).</t>
        </is>
      </c>
    </row>
    <row r="17">
      <c r="A17" s="17" t="inlineStr">
        <is>
          <t>SAMPLE rows must be deleted before external or board circulation.</t>
        </is>
      </c>
    </row>
    <row r="18">
      <c r="A18" s="17" t="inlineStr">
        <is>
          <t>This workbook does not replace statutory accounts or Xero.</t>
        </is>
      </c>
    </row>
  </sheetData>
  <mergeCells count="1">
    <mergeCell ref="A1:F1"/>
  </mergeCells>
  <pageMargins left="0.4" right="0.4" top="1" bottom="1" header="0.5" footer="0.5"/>
  <pageSetup orientation="portrait" fitToHeight="0" fitToWidth="1"/>
  <headerFooter>
    <oddHeader>&amp;CTreun Roc Contracts — CONFIDENTIAL</oddHeader>
    <oddFooter>&amp;CPage &amp;P of &amp;N | TR Connect Board Forecast&amp;R17 Sep 2026</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4"/>
  <sheetViews>
    <sheetView workbookViewId="0">
      <selection activeCell="A1" sqref="A1"/>
    </sheetView>
  </sheetViews>
  <sheetFormatPr baseColWidth="8" defaultRowHeight="15"/>
  <cols>
    <col width="18" customWidth="1" min="1" max="1"/>
    <col width="10" customWidth="1" min="2" max="2"/>
    <col width="18" customWidth="1" min="3" max="3"/>
    <col width="60" customWidth="1" min="4" max="4"/>
    <col width="16" customWidth="1" min="5" max="5"/>
  </cols>
  <sheetData>
    <row r="1" ht="32" customHeight="1">
      <c r="A1" s="1" t="inlineStr">
        <is>
          <t>DOCUMENT AUDIT LOG</t>
        </is>
      </c>
      <c r="B1" s="2" t="n"/>
      <c r="C1" s="2" t="n"/>
      <c r="D1" s="2" t="n"/>
      <c r="E1" s="2" t="n"/>
      <c r="F1" s="2" t="n"/>
    </row>
    <row r="3" ht="36" customHeight="1">
      <c r="A3" s="22" t="inlineStr">
        <is>
          <t>Date</t>
        </is>
      </c>
      <c r="B3" s="22" t="inlineStr">
        <is>
          <t>Version</t>
        </is>
      </c>
      <c r="C3" s="22" t="inlineStr">
        <is>
          <t>Author</t>
        </is>
      </c>
      <c r="D3" s="22" t="inlineStr">
        <is>
          <t>Change</t>
        </is>
      </c>
      <c r="E3" s="22" t="inlineStr">
        <is>
          <t>Approved by</t>
        </is>
      </c>
    </row>
    <row r="4">
      <c r="A4" s="44" t="n">
        <v>46282.72592996911</v>
      </c>
      <c r="B4" s="34" t="inlineStr">
        <is>
          <t>1.0</t>
        </is>
      </c>
      <c r="C4" s="34" t="inlineStr">
        <is>
          <t>TR Connect / MD</t>
        </is>
      </c>
      <c r="D4" s="34" t="inlineStr">
        <is>
          <t>Initial board forecast pack + Quick BD Input + Ryan monthly impact formula lock</t>
        </is>
      </c>
      <c r="E4" s="34" t="inlineStr"/>
    </row>
    <row r="5">
      <c r="A5" s="29" t="n"/>
      <c r="B5" s="29" t="n"/>
      <c r="C5" s="29" t="n"/>
      <c r="D5" s="29" t="n"/>
      <c r="E5" s="29" t="n"/>
    </row>
    <row r="6">
      <c r="A6" s="29" t="n"/>
      <c r="B6" s="29" t="n"/>
      <c r="C6" s="29" t="n"/>
      <c r="D6" s="29" t="n"/>
      <c r="E6" s="29" t="n"/>
    </row>
    <row r="7">
      <c r="A7" s="29" t="n"/>
      <c r="B7" s="29" t="n"/>
      <c r="C7" s="29" t="n"/>
      <c r="D7" s="29" t="n"/>
      <c r="E7" s="29" t="n"/>
    </row>
    <row r="8">
      <c r="A8" s="29" t="n"/>
      <c r="B8" s="29" t="n"/>
      <c r="C8" s="29" t="n"/>
      <c r="D8" s="29" t="n"/>
      <c r="E8" s="29" t="n"/>
    </row>
    <row r="9">
      <c r="A9" s="29" t="n"/>
      <c r="B9" s="29" t="n"/>
      <c r="C9" s="29" t="n"/>
      <c r="D9" s="29" t="n"/>
      <c r="E9" s="29" t="n"/>
    </row>
    <row r="10">
      <c r="A10" s="29" t="n"/>
      <c r="B10" s="29" t="n"/>
      <c r="C10" s="29" t="n"/>
      <c r="D10" s="29" t="n"/>
      <c r="E10" s="29" t="n"/>
    </row>
    <row r="11">
      <c r="A11" s="29" t="n"/>
      <c r="B11" s="29" t="n"/>
      <c r="C11" s="29" t="n"/>
      <c r="D11" s="29" t="n"/>
      <c r="E11" s="29" t="n"/>
    </row>
    <row r="12">
      <c r="A12" s="29" t="n"/>
      <c r="B12" s="29" t="n"/>
      <c r="C12" s="29" t="n"/>
      <c r="D12" s="29" t="n"/>
      <c r="E12" s="29" t="n"/>
    </row>
    <row r="13">
      <c r="A13" s="29" t="n"/>
      <c r="B13" s="29" t="n"/>
      <c r="C13" s="29" t="n"/>
      <c r="D13" s="29" t="n"/>
      <c r="E13" s="29" t="n"/>
    </row>
    <row r="14">
      <c r="A14" s="29" t="n"/>
      <c r="B14" s="29" t="n"/>
      <c r="C14" s="29" t="n"/>
      <c r="D14" s="29" t="n"/>
      <c r="E14" s="29" t="n"/>
    </row>
    <row r="15">
      <c r="A15" s="29" t="n"/>
      <c r="B15" s="29" t="n"/>
      <c r="C15" s="29" t="n"/>
      <c r="D15" s="29" t="n"/>
      <c r="E15" s="29" t="n"/>
    </row>
    <row r="16">
      <c r="A16" s="29" t="n"/>
      <c r="B16" s="29" t="n"/>
      <c r="C16" s="29" t="n"/>
      <c r="D16" s="29" t="n"/>
      <c r="E16" s="29" t="n"/>
    </row>
    <row r="17">
      <c r="A17" s="29" t="n"/>
      <c r="B17" s="29" t="n"/>
      <c r="C17" s="29" t="n"/>
      <c r="D17" s="29" t="n"/>
      <c r="E17" s="29" t="n"/>
    </row>
    <row r="18">
      <c r="A18" s="29" t="n"/>
      <c r="B18" s="29" t="n"/>
      <c r="C18" s="29" t="n"/>
      <c r="D18" s="29" t="n"/>
      <c r="E18" s="29" t="n"/>
    </row>
    <row r="19">
      <c r="A19" s="29" t="n"/>
      <c r="B19" s="29" t="n"/>
      <c r="C19" s="29" t="n"/>
      <c r="D19" s="29" t="n"/>
      <c r="E19" s="29" t="n"/>
    </row>
    <row r="20">
      <c r="A20" s="29" t="n"/>
      <c r="B20" s="29" t="n"/>
      <c r="C20" s="29" t="n"/>
      <c r="D20" s="29" t="n"/>
      <c r="E20" s="29" t="n"/>
    </row>
    <row r="21">
      <c r="A21" s="29" t="n"/>
      <c r="B21" s="29" t="n"/>
      <c r="C21" s="29" t="n"/>
      <c r="D21" s="29" t="n"/>
      <c r="E21" s="29" t="n"/>
    </row>
    <row r="22">
      <c r="A22" s="29" t="n"/>
      <c r="B22" s="29" t="n"/>
      <c r="C22" s="29" t="n"/>
      <c r="D22" s="29" t="n"/>
      <c r="E22" s="29" t="n"/>
    </row>
    <row r="23">
      <c r="A23" s="29" t="n"/>
      <c r="B23" s="29" t="n"/>
      <c r="C23" s="29" t="n"/>
      <c r="D23" s="29" t="n"/>
      <c r="E23" s="29" t="n"/>
    </row>
    <row r="24">
      <c r="A24" s="29" t="n"/>
      <c r="B24" s="29" t="n"/>
      <c r="C24" s="29" t="n"/>
      <c r="D24" s="29" t="n"/>
      <c r="E24" s="29" t="n"/>
    </row>
  </sheetData>
  <mergeCells count="1">
    <mergeCell ref="A1:F1"/>
  </mergeCells>
  <pageMargins left="0.4" right="0.4" top="1" bottom="1" header="0.5" footer="0.5"/>
  <pageSetup orientation="portrait" fitToHeight="0" fitToWidth="1"/>
  <headerFooter>
    <oddHeader>&amp;CTreun Roc Contracts — CONFIDENTIAL</oddHeader>
    <oddFooter>&amp;CPage &amp;P of &amp;N | TR Connect Board Forecast&amp;R17 Sep 2026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2026-09-17T17:25:20Z</dcterms:created>
  <dcterms:modified xsi:type="dcterms:W3CDTF">2026-09-17T17:25:20Z</dcterms:modified>
</cp:coreProperties>
</file>