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Invoice register" sheetId="3" state="visible" r:id="rId3"/>
    <sheet name="Cash summary" sheetId="4" state="visible" r:id="rId4"/>
    <sheet name="Assumptions" sheetId="5" state="visible" r:id="rId5"/>
  </sheets>
  <definedNames>
    <definedName name="_xlnm.Print_Titles" localSheetId="0">'Cover'!$1:$1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10">
    <font>
      <name val="Calibri"/>
      <family val="2"/>
      <color theme="1"/>
      <sz val="11"/>
      <scheme val="minor"/>
    </font>
    <font>
      <name val="Calibri"/>
      <color rgb="00F3F0E6"/>
      <sz val="11"/>
    </font>
    <font>
      <name val="Calibri"/>
      <b val="1"/>
      <color rgb="00D4AF37"/>
      <sz val="12"/>
    </font>
    <font>
      <name val="Calibri"/>
      <b val="1"/>
      <color rgb="00F3F0E6"/>
      <sz val="22"/>
    </font>
    <font>
      <name val="Calibri"/>
      <b val="1"/>
      <color rgb="00D4AF37"/>
      <sz val="9"/>
    </font>
    <font>
      <name val="Calibri"/>
      <b val="1"/>
      <color rgb="00D4AF37"/>
      <sz val="11"/>
    </font>
    <font>
      <name val="Calibri"/>
      <color rgb="009A9588"/>
      <sz val="10"/>
    </font>
    <font>
      <name val="Calibri"/>
      <b val="1"/>
      <color rgb="00F3F0E6"/>
      <sz val="16"/>
    </font>
    <font>
      <name val="Calibri"/>
      <b val="1"/>
      <color rgb="000A0A0A"/>
      <sz val="10"/>
    </font>
    <font>
      <name val="Calibri"/>
      <i val="1"/>
      <color rgb="009A9588"/>
      <sz val="10"/>
    </font>
  </fonts>
  <fills count="8">
    <fill>
      <patternFill/>
    </fill>
    <fill>
      <patternFill patternType="gray125"/>
    </fill>
    <fill>
      <patternFill patternType="solid">
        <fgColor rgb="000A0A0A"/>
      </patternFill>
    </fill>
    <fill>
      <patternFill patternType="solid">
        <fgColor rgb="00121212"/>
      </patternFill>
    </fill>
    <fill>
      <patternFill patternType="solid">
        <fgColor rgb="001A1A1A"/>
      </patternFill>
    </fill>
    <fill>
      <patternFill patternType="solid">
        <fgColor rgb="00D4AF37"/>
      </patternFill>
    </fill>
    <fill>
      <patternFill patternType="solid">
        <fgColor rgb="001E1E1C"/>
      </patternFill>
    </fill>
    <fill>
      <patternFill patternType="solid">
        <fgColor rgb="00161616"/>
      </patternFill>
    </fill>
  </fills>
  <borders count="4">
    <border>
      <left/>
      <right/>
      <top/>
      <bottom/>
      <diagonal/>
    </border>
    <border>
      <left style="thin">
        <color rgb="00A88624"/>
      </left>
      <right style="thin">
        <color rgb="00A88624"/>
      </right>
      <top style="thin">
        <color rgb="00A88624"/>
      </top>
      <bottom style="thin">
        <color rgb="00A88624"/>
      </bottom>
    </border>
    <border>
      <left style="thin">
        <color rgb="00333333"/>
      </left>
      <right style="thin">
        <color rgb="00333333"/>
      </right>
      <top style="thin">
        <color rgb="00333333"/>
      </top>
      <bottom style="thin">
        <color rgb="00333333"/>
      </bottom>
    </border>
    <border>
      <bottom style="thin">
        <color rgb="00D4AF37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3" fillId="2" borderId="0" pivotButton="0" quotePrefix="0" xfId="0"/>
    <xf numFmtId="0" fontId="4" fillId="2" borderId="0" pivotButton="0" quotePrefix="0" xfId="0"/>
    <xf numFmtId="0" fontId="1" fillId="3" borderId="1" applyAlignment="1" pivotButton="0" quotePrefix="0" xfId="0">
      <alignment horizontal="left" vertical="top" wrapText="1"/>
    </xf>
    <xf numFmtId="0" fontId="5" fillId="4" borderId="0" pivotButton="0" quotePrefix="0" xfId="0"/>
    <xf numFmtId="0" fontId="1" fillId="3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7" fillId="2" borderId="0" pivotButton="0" quotePrefix="0" xfId="0"/>
    <xf numFmtId="0" fontId="6" fillId="2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6" borderId="2" pivotButton="0" quotePrefix="0" xfId="0"/>
    <xf numFmtId="164" fontId="9" fillId="3" borderId="2" pivotButton="0" quotePrefix="0" xfId="0"/>
    <xf numFmtId="165" fontId="9" fillId="3" borderId="2" pivotButton="0" quotePrefix="0" xfId="0"/>
    <xf numFmtId="164" fontId="9" fillId="7" borderId="2" pivotButton="0" quotePrefix="0" xfId="0"/>
    <xf numFmtId="165" fontId="9" fillId="7" borderId="2" pivotButton="0" quotePrefix="0" xfId="0"/>
    <xf numFmtId="164" fontId="5" fillId="4" borderId="3" pivotButton="0" quotePrefix="0" xfId="0"/>
    <xf numFmtId="165" fontId="5" fillId="4" borderId="0" pivotButton="0" quotePrefix="0" xfId="0"/>
    <xf numFmtId="0" fontId="2" fillId="2" borderId="0" pivotButton="0" quotePrefix="0" xfId="0"/>
    <xf numFmtId="0" fontId="6" fillId="3" borderId="0" pivotButton="0" quotePrefix="0" xfId="0"/>
    <xf numFmtId="164" fontId="1" fillId="6" borderId="2" pivotButton="0" quotePrefix="0" xfId="0"/>
    <xf numFmtId="0" fontId="5" fillId="2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1" fillId="3" borderId="2" pivotButton="0" quotePrefix="0" xfId="0"/>
    <xf numFmtId="164" fontId="9" fillId="6" borderId="2" pivotButton="0" quotePrefix="0" xfId="0"/>
    <xf numFmtId="0" fontId="1" fillId="7" borderId="2" pivotButton="0" quotePrefix="0" xfId="0"/>
    <xf numFmtId="0" fontId="1" fillId="6" borderId="2" pivotButton="0" quotePrefix="0" xfId="0"/>
    <xf numFmtId="0" fontId="1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685800" cy="6858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D4AF37"/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</cols>
  <sheetData>
    <row r="1" ht="12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n"/>
      <c r="B3" s="2" t="inlineStr">
        <is>
          <t>TREUN ROC CONNECT</t>
        </is>
      </c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1" t="n"/>
      <c r="B5" s="3" t="inlineStr">
        <is>
          <t>Management P&amp;L Pack</t>
        </is>
      </c>
      <c r="H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</row>
    <row r="7">
      <c r="A7" s="1" t="n"/>
      <c r="B7" s="4" t="inlineStr">
        <is>
          <t>CONFIDENTIAL · Ryan-only · not audited / not statutory</t>
        </is>
      </c>
      <c r="H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</row>
    <row r="9">
      <c r="A9" s="1" t="n"/>
      <c r="B9" s="5" t="inlineStr">
        <is>
          <t>Board-quality template for internal management information.
Live job P&amp;L, invoice register and cash figures are filled from the Connect desk via Export live pack (CSV) on Finance (Ryan). This workbook is the structural board pack.
Job P&amp;L is inferred from applications, bank and costs — not a Sage trial balance.</t>
        </is>
      </c>
      <c r="H9" s="1" t="n"/>
    </row>
    <row r="10">
      <c r="A10" s="1" t="n"/>
      <c r="H10" s="1" t="n"/>
    </row>
    <row r="11">
      <c r="A11" s="1" t="n"/>
      <c r="H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</row>
    <row r="14">
      <c r="A14" s="1" t="n"/>
      <c r="B14" s="6" t="inlineStr">
        <is>
          <t>Entity</t>
        </is>
      </c>
      <c r="C14" s="7" t="inlineStr">
        <is>
          <t>Treun Roc Connect</t>
        </is>
      </c>
      <c r="D14" s="1" t="n"/>
      <c r="E14" s="1" t="n"/>
      <c r="F14" s="1" t="n"/>
      <c r="G14" s="1" t="n"/>
      <c r="H14" s="1" t="n"/>
    </row>
    <row r="15">
      <c r="A15" s="1" t="n"/>
      <c r="B15" s="6" t="inlineStr">
        <is>
          <t>Audience</t>
        </is>
      </c>
      <c r="C15" s="7" t="inlineStr">
        <is>
          <t>Ryan Wilson only</t>
        </is>
      </c>
      <c r="D15" s="1" t="n"/>
      <c r="E15" s="1" t="n"/>
      <c r="F15" s="1" t="n"/>
      <c r="G15" s="1" t="n"/>
      <c r="H15" s="1" t="n"/>
    </row>
    <row r="16">
      <c r="A16" s="1" t="n"/>
      <c r="B16" s="6" t="inlineStr">
        <is>
          <t>Version</t>
        </is>
      </c>
      <c r="C16" s="7" t="inlineStr">
        <is>
          <t>17 September 2026</t>
        </is>
      </c>
      <c r="D16" s="1" t="n"/>
      <c r="E16" s="1" t="n"/>
      <c r="F16" s="1" t="n"/>
      <c r="G16" s="1" t="n"/>
      <c r="H16" s="1" t="n"/>
    </row>
    <row r="17">
      <c r="A17" s="1" t="n"/>
      <c r="B17" s="6" t="inlineStr">
        <is>
          <t>Generated</t>
        </is>
      </c>
      <c r="C17" s="7" t="inlineStr">
        <is>
          <t>2026-09-17 18:40 BST</t>
        </is>
      </c>
      <c r="D17" s="1" t="n"/>
      <c r="E17" s="1" t="n"/>
      <c r="F17" s="1" t="n"/>
      <c r="G17" s="1" t="n"/>
      <c r="H17" s="1" t="n"/>
    </row>
    <row r="18">
      <c r="A18" s="1" t="n"/>
      <c r="B18" s="6" t="inlineStr">
        <is>
          <t>Classification</t>
        </is>
      </c>
      <c r="C18" s="7" t="inlineStr">
        <is>
          <t>CONFIDENTIAL — external MI</t>
        </is>
      </c>
      <c r="D18" s="1" t="n"/>
      <c r="E18" s="1" t="n"/>
      <c r="F18" s="1" t="n"/>
      <c r="G18" s="1" t="n"/>
      <c r="H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</row>
    <row r="21">
      <c r="A21" s="1" t="n"/>
      <c r="B21" s="8" t="inlineStr">
        <is>
          <t>Sheets: Cover · P&amp;L · Invoice register · Cash summary · Assumptions. Do not circulate outside Ryan without redaction.</t>
        </is>
      </c>
      <c r="H21" s="1" t="n"/>
    </row>
    <row r="22">
      <c r="A22" s="1" t="n"/>
      <c r="H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</sheetData>
  <mergeCells count="5">
    <mergeCell ref="B3:G3"/>
    <mergeCell ref="B9:G11"/>
    <mergeCell ref="B5:G5"/>
    <mergeCell ref="B21:G22"/>
    <mergeCell ref="B7:G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D4AF37"/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2" customWidth="1" min="7" max="7"/>
    <col width="18" customWidth="1" min="8" max="8"/>
  </cols>
  <sheetData>
    <row r="1">
      <c r="A1" s="9" t="inlineStr">
        <is>
          <t>Job P&amp;L — Treun Roc Connect</t>
        </is>
      </c>
      <c r="H1" s="1" t="n"/>
    </row>
    <row r="2">
      <c r="A2" s="10" t="inlineStr">
        <is>
          <t>Leave rows empty or use formula placeholders. Live fill: Finance → Export live pack (CSV).</t>
        </is>
      </c>
      <c r="H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</row>
    <row r="4">
      <c r="A4" s="11" t="inlineStr">
        <is>
          <t>Job</t>
        </is>
      </c>
      <c r="B4" s="11" t="inlineStr">
        <is>
          <t>Client</t>
        </is>
      </c>
      <c r="C4" s="11" t="inlineStr">
        <is>
          <t>Status</t>
        </is>
      </c>
      <c r="D4" s="11" t="inlineStr">
        <is>
          <t>Revenue £</t>
        </is>
      </c>
      <c r="E4" s="11" t="inlineStr">
        <is>
          <t>Cost £</t>
        </is>
      </c>
      <c r="F4" s="11" t="inlineStr">
        <is>
          <t>Margin £</t>
        </is>
      </c>
      <c r="G4" s="11" t="inlineStr">
        <is>
          <t>Margin %</t>
        </is>
      </c>
      <c r="H4" s="1" t="n"/>
    </row>
    <row r="5">
      <c r="A5" s="12" t="n"/>
      <c r="B5" s="12" t="n"/>
      <c r="C5" s="12" t="n"/>
      <c r="D5" s="12" t="n"/>
      <c r="E5" s="12" t="n"/>
      <c r="F5" s="13">
        <f>IF(OR(D5="",D5=0),"",D5-E5)</f>
        <v/>
      </c>
      <c r="G5" s="14">
        <f>IF(OR(D5="",D5=0),"",F5/D5)</f>
        <v/>
      </c>
      <c r="H5" s="1" t="n"/>
    </row>
    <row r="6">
      <c r="A6" s="12" t="n"/>
      <c r="B6" s="12" t="n"/>
      <c r="C6" s="12" t="n"/>
      <c r="D6" s="12" t="n"/>
      <c r="E6" s="12" t="n"/>
      <c r="F6" s="15">
        <f>IF(OR(D6="",D6=0),"",D6-E6)</f>
        <v/>
      </c>
      <c r="G6" s="16">
        <f>IF(OR(D6="",D6=0),"",F6/D6)</f>
        <v/>
      </c>
      <c r="H6" s="1" t="n"/>
    </row>
    <row r="7">
      <c r="A7" s="12" t="n"/>
      <c r="B7" s="12" t="n"/>
      <c r="C7" s="12" t="n"/>
      <c r="D7" s="12" t="n"/>
      <c r="E7" s="12" t="n"/>
      <c r="F7" s="13">
        <f>IF(OR(D7="",D7=0),"",D7-E7)</f>
        <v/>
      </c>
      <c r="G7" s="14">
        <f>IF(OR(D7="",D7=0),"",F7/D7)</f>
        <v/>
      </c>
      <c r="H7" s="1" t="n"/>
    </row>
    <row r="8">
      <c r="A8" s="12" t="n"/>
      <c r="B8" s="12" t="n"/>
      <c r="C8" s="12" t="n"/>
      <c r="D8" s="12" t="n"/>
      <c r="E8" s="12" t="n"/>
      <c r="F8" s="15">
        <f>IF(OR(D8="",D8=0),"",D8-E8)</f>
        <v/>
      </c>
      <c r="G8" s="16">
        <f>IF(OR(D8="",D8=0),"",F8/D8)</f>
        <v/>
      </c>
      <c r="H8" s="1" t="n"/>
    </row>
    <row r="9">
      <c r="A9" s="12" t="n"/>
      <c r="B9" s="12" t="n"/>
      <c r="C9" s="12" t="n"/>
      <c r="D9" s="12" t="n"/>
      <c r="E9" s="12" t="n"/>
      <c r="F9" s="13">
        <f>IF(OR(D9="",D9=0),"",D9-E9)</f>
        <v/>
      </c>
      <c r="G9" s="14">
        <f>IF(OR(D9="",D9=0),"",F9/D9)</f>
        <v/>
      </c>
      <c r="H9" s="1" t="n"/>
    </row>
    <row r="10">
      <c r="A10" s="12" t="n"/>
      <c r="B10" s="12" t="n"/>
      <c r="C10" s="12" t="n"/>
      <c r="D10" s="12" t="n"/>
      <c r="E10" s="12" t="n"/>
      <c r="F10" s="15">
        <f>IF(OR(D10="",D10=0),"",D10-E10)</f>
        <v/>
      </c>
      <c r="G10" s="16">
        <f>IF(OR(D10="",D10=0),"",F10/D10)</f>
        <v/>
      </c>
      <c r="H10" s="1" t="n"/>
    </row>
    <row r="11">
      <c r="A11" s="12" t="n"/>
      <c r="B11" s="12" t="n"/>
      <c r="C11" s="12" t="n"/>
      <c r="D11" s="12" t="n"/>
      <c r="E11" s="12" t="n"/>
      <c r="F11" s="13">
        <f>IF(OR(D11="",D11=0),"",D11-E11)</f>
        <v/>
      </c>
      <c r="G11" s="14">
        <f>IF(OR(D11="",D11=0),"",F11/D11)</f>
        <v/>
      </c>
      <c r="H11" s="1" t="n"/>
    </row>
    <row r="12">
      <c r="A12" s="12" t="n"/>
      <c r="B12" s="12" t="n"/>
      <c r="C12" s="12" t="n"/>
      <c r="D12" s="12" t="n"/>
      <c r="E12" s="12" t="n"/>
      <c r="F12" s="15">
        <f>IF(OR(D12="",D12=0),"",D12-E12)</f>
        <v/>
      </c>
      <c r="G12" s="16">
        <f>IF(OR(D12="",D12=0),"",F12/D12)</f>
        <v/>
      </c>
      <c r="H12" s="1" t="n"/>
    </row>
    <row r="13">
      <c r="A13" s="12" t="n"/>
      <c r="B13" s="12" t="n"/>
      <c r="C13" s="12" t="n"/>
      <c r="D13" s="12" t="n"/>
      <c r="E13" s="12" t="n"/>
      <c r="F13" s="13">
        <f>IF(OR(D13="",D13=0),"",D13-E13)</f>
        <v/>
      </c>
      <c r="G13" s="14">
        <f>IF(OR(D13="",D13=0),"",F13/D13)</f>
        <v/>
      </c>
      <c r="H13" s="1" t="n"/>
    </row>
    <row r="14">
      <c r="A14" s="12" t="n"/>
      <c r="B14" s="12" t="n"/>
      <c r="C14" s="12" t="n"/>
      <c r="D14" s="12" t="n"/>
      <c r="E14" s="12" t="n"/>
      <c r="F14" s="15">
        <f>IF(OR(D14="",D14=0),"",D14-E14)</f>
        <v/>
      </c>
      <c r="G14" s="16">
        <f>IF(OR(D14="",D14=0),"",F14/D14)</f>
        <v/>
      </c>
      <c r="H14" s="1" t="n"/>
    </row>
    <row r="15">
      <c r="A15" s="12" t="n"/>
      <c r="B15" s="12" t="n"/>
      <c r="C15" s="12" t="n"/>
      <c r="D15" s="12" t="n"/>
      <c r="E15" s="12" t="n"/>
      <c r="F15" s="13">
        <f>IF(OR(D15="",D15=0),"",D15-E15)</f>
        <v/>
      </c>
      <c r="G15" s="14">
        <f>IF(OR(D15="",D15=0),"",F15/D15)</f>
        <v/>
      </c>
      <c r="H15" s="1" t="n"/>
    </row>
    <row r="16">
      <c r="A16" s="12" t="n"/>
      <c r="B16" s="12" t="n"/>
      <c r="C16" s="12" t="n"/>
      <c r="D16" s="12" t="n"/>
      <c r="E16" s="12" t="n"/>
      <c r="F16" s="15">
        <f>IF(OR(D16="",D16=0),"",D16-E16)</f>
        <v/>
      </c>
      <c r="G16" s="16">
        <f>IF(OR(D16="",D16=0),"",F16/D16)</f>
        <v/>
      </c>
      <c r="H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</row>
    <row r="18">
      <c r="A18" s="6" t="inlineStr">
        <is>
          <t>TOTALS</t>
        </is>
      </c>
      <c r="B18" s="1" t="n"/>
      <c r="C18" s="1" t="n"/>
      <c r="D18" s="17">
        <f>SUM(D5:D16)</f>
        <v/>
      </c>
      <c r="E18" s="17">
        <f>SUM(E5:E16)</f>
        <v/>
      </c>
      <c r="F18" s="17">
        <f>SUM(F5:F16)</f>
        <v/>
      </c>
      <c r="G18" s="18">
        <f>IF(D18=0,"",F18/D18)</f>
        <v/>
      </c>
      <c r="H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</row>
    <row r="20">
      <c r="A20" s="19" t="inlineStr">
        <is>
          <t>OVERHEAD</t>
        </is>
      </c>
      <c r="B20" s="1" t="n"/>
      <c r="C20" s="1" t="n"/>
      <c r="D20" s="1" t="n"/>
      <c r="E20" s="1" t="n"/>
      <c r="F20" s="1" t="n"/>
      <c r="G20" s="1" t="n"/>
      <c r="H20" s="1" t="n"/>
    </row>
    <row r="21">
      <c r="A21" s="11" t="inlineStr">
        <is>
          <t>Overhead item</t>
        </is>
      </c>
      <c r="B21" s="11" t="inlineStr">
        <is>
          <t>Notes</t>
        </is>
      </c>
      <c r="C21" s="11" t="inlineStr">
        <is>
          <t>Centre</t>
        </is>
      </c>
      <c r="D21" s="11" t="inlineStr">
        <is>
          <t>Amount £</t>
        </is>
      </c>
      <c r="E21" s="1" t="n"/>
      <c r="F21" s="1" t="n"/>
      <c r="G21" s="1" t="n"/>
      <c r="H21" s="1" t="n"/>
    </row>
    <row r="22">
      <c r="A22" s="7" t="inlineStr">
        <is>
          <t>Wages / drawings</t>
        </is>
      </c>
      <c r="B22" s="20" t="inlineStr">
        <is>
          <t>Fill from live CSV / desk</t>
        </is>
      </c>
      <c r="C22" s="20" t="inlineStr">
        <is>
          <t>oh:wages</t>
        </is>
      </c>
      <c r="D22" s="21" t="n"/>
      <c r="E22" s="1" t="n"/>
      <c r="F22" s="1" t="n"/>
      <c r="G22" s="1" t="n"/>
      <c r="H22" s="1" t="n"/>
    </row>
    <row r="23">
      <c r="A23" s="7" t="inlineStr">
        <is>
          <t>Office / admin</t>
        </is>
      </c>
      <c r="B23" s="20" t="inlineStr">
        <is>
          <t>Fill from live CSV / desk</t>
        </is>
      </c>
      <c r="C23" s="20" t="inlineStr">
        <is>
          <t>oh:office</t>
        </is>
      </c>
      <c r="D23" s="21" t="n"/>
      <c r="E23" s="1" t="n"/>
      <c r="F23" s="1" t="n"/>
      <c r="G23" s="1" t="n"/>
      <c r="H23" s="1" t="n"/>
    </row>
    <row r="24">
      <c r="A24" s="7" t="inlineStr">
        <is>
          <t>Insurance / compliance</t>
        </is>
      </c>
      <c r="B24" s="20" t="inlineStr">
        <is>
          <t>Fill from live CSV / desk</t>
        </is>
      </c>
      <c r="C24" s="20" t="inlineStr">
        <is>
          <t>oh:*</t>
        </is>
      </c>
      <c r="D24" s="21" t="n"/>
      <c r="E24" s="1" t="n"/>
      <c r="F24" s="1" t="n"/>
      <c r="G24" s="1" t="n"/>
      <c r="H24" s="1" t="n"/>
    </row>
    <row r="25">
      <c r="A25" s="7" t="inlineStr">
        <is>
          <t>Other overhead</t>
        </is>
      </c>
      <c r="B25" s="20" t="inlineStr">
        <is>
          <t>Fill from live CSV / desk</t>
        </is>
      </c>
      <c r="C25" s="20" t="inlineStr"/>
      <c r="D25" s="21" t="n"/>
      <c r="E25" s="1" t="n"/>
      <c r="F25" s="1" t="n"/>
      <c r="G25" s="1" t="n"/>
      <c r="H25" s="1" t="n"/>
    </row>
    <row r="26">
      <c r="A26" s="7" t="inlineStr">
        <is>
          <t>Unallocated spend</t>
        </is>
      </c>
      <c r="B26" s="20" t="inlineStr">
        <is>
          <t>Fill from live CSV / desk</t>
        </is>
      </c>
      <c r="C26" s="20" t="inlineStr"/>
      <c r="D26" s="21" t="n"/>
      <c r="E26" s="1" t="n"/>
      <c r="F26" s="1" t="n"/>
      <c r="G26" s="1" t="n"/>
      <c r="H26" s="1" t="n"/>
    </row>
    <row r="27">
      <c r="A27" s="22" t="inlineStr">
        <is>
          <t>Overhead total</t>
        </is>
      </c>
      <c r="B27" s="1" t="n"/>
      <c r="C27" s="1" t="n"/>
      <c r="D27" s="23">
        <f>SUM(D22:D26)</f>
        <v/>
      </c>
      <c r="E27" s="1" t="n"/>
      <c r="F27" s="1" t="n"/>
      <c r="G27" s="1" t="n"/>
      <c r="H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</row>
    <row r="29">
      <c r="A29" s="22" t="inlineStr">
        <is>
          <t>Operating profit (job margin − overhead)</t>
        </is>
      </c>
      <c r="B29" s="1" t="n"/>
      <c r="C29" s="1" t="n"/>
      <c r="D29" s="23">
        <f>F18-D27</f>
        <v/>
      </c>
      <c r="E29" s="1" t="n"/>
      <c r="F29" s="1" t="n"/>
      <c r="G29" s="1" t="n"/>
      <c r="H29" s="1" t="n"/>
    </row>
    <row r="30">
      <c r="A30" s="22" t="inlineStr">
        <is>
          <t>Operating margin %</t>
        </is>
      </c>
      <c r="B30" s="1" t="n"/>
      <c r="C30" s="1" t="n"/>
      <c r="D30" s="24">
        <f>IF(D18=0,"",D29/D18)</f>
        <v/>
      </c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88624"/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9" t="inlineStr">
        <is>
          <t>Invoice register — desk headers</t>
        </is>
      </c>
      <c r="I1" s="1" t="n"/>
      <c r="J1" s="1" t="n"/>
    </row>
    <row r="2">
      <c r="A2" s="10" t="inlineStr">
        <is>
          <t>Headers match Connect Invoices desk (number, job, client, status, net, VAT, gross, date).</t>
        </is>
      </c>
      <c r="I2" s="1" t="n"/>
      <c r="J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1" t="inlineStr">
        <is>
          <t>Number</t>
        </is>
      </c>
      <c r="B4" s="11" t="inlineStr">
        <is>
          <t>Job</t>
        </is>
      </c>
      <c r="C4" s="11" t="inlineStr">
        <is>
          <t>Client</t>
        </is>
      </c>
      <c r="D4" s="11" t="inlineStr">
        <is>
          <t>Status</t>
        </is>
      </c>
      <c r="E4" s="11" t="inlineStr">
        <is>
          <t>Net £</t>
        </is>
      </c>
      <c r="F4" s="11" t="inlineStr">
        <is>
          <t>VAT £</t>
        </is>
      </c>
      <c r="G4" s="11" t="inlineStr">
        <is>
          <t>Gross £</t>
        </is>
      </c>
      <c r="H4" s="11" t="inlineStr">
        <is>
          <t>Date</t>
        </is>
      </c>
      <c r="I4" s="1" t="n"/>
      <c r="J4" s="1" t="n"/>
    </row>
    <row r="5">
      <c r="A5" s="25" t="n"/>
      <c r="B5" s="25" t="n"/>
      <c r="C5" s="25" t="n"/>
      <c r="D5" s="25" t="n"/>
      <c r="E5" s="26" t="n"/>
      <c r="F5" s="26" t="n"/>
      <c r="G5" s="26" t="n"/>
      <c r="H5" s="25" t="n"/>
      <c r="I5" s="1" t="n"/>
      <c r="J5" s="1" t="n"/>
    </row>
    <row r="6">
      <c r="A6" s="27" t="n"/>
      <c r="B6" s="27" t="n"/>
      <c r="C6" s="27" t="n"/>
      <c r="D6" s="27" t="n"/>
      <c r="E6" s="26" t="n"/>
      <c r="F6" s="26" t="n"/>
      <c r="G6" s="26" t="n"/>
      <c r="H6" s="27" t="n"/>
      <c r="I6" s="1" t="n"/>
      <c r="J6" s="1" t="n"/>
    </row>
    <row r="7">
      <c r="A7" s="25" t="n"/>
      <c r="B7" s="25" t="n"/>
      <c r="C7" s="25" t="n"/>
      <c r="D7" s="25" t="n"/>
      <c r="E7" s="26" t="n"/>
      <c r="F7" s="26" t="n"/>
      <c r="G7" s="26" t="n"/>
      <c r="H7" s="25" t="n"/>
      <c r="I7" s="1" t="n"/>
      <c r="J7" s="1" t="n"/>
    </row>
    <row r="8">
      <c r="A8" s="27" t="n"/>
      <c r="B8" s="27" t="n"/>
      <c r="C8" s="27" t="n"/>
      <c r="D8" s="27" t="n"/>
      <c r="E8" s="26" t="n"/>
      <c r="F8" s="26" t="n"/>
      <c r="G8" s="26" t="n"/>
      <c r="H8" s="27" t="n"/>
      <c r="I8" s="1" t="n"/>
      <c r="J8" s="1" t="n"/>
    </row>
    <row r="9">
      <c r="A9" s="25" t="n"/>
      <c r="B9" s="25" t="n"/>
      <c r="C9" s="25" t="n"/>
      <c r="D9" s="25" t="n"/>
      <c r="E9" s="26" t="n"/>
      <c r="F9" s="26" t="n"/>
      <c r="G9" s="26" t="n"/>
      <c r="H9" s="25" t="n"/>
      <c r="I9" s="1" t="n"/>
      <c r="J9" s="1" t="n"/>
    </row>
    <row r="10">
      <c r="A10" s="27" t="n"/>
      <c r="B10" s="27" t="n"/>
      <c r="C10" s="27" t="n"/>
      <c r="D10" s="27" t="n"/>
      <c r="E10" s="26" t="n"/>
      <c r="F10" s="26" t="n"/>
      <c r="G10" s="26" t="n"/>
      <c r="H10" s="27" t="n"/>
      <c r="I10" s="1" t="n"/>
      <c r="J10" s="1" t="n"/>
    </row>
    <row r="11">
      <c r="A11" s="25" t="n"/>
      <c r="B11" s="25" t="n"/>
      <c r="C11" s="25" t="n"/>
      <c r="D11" s="25" t="n"/>
      <c r="E11" s="26" t="n"/>
      <c r="F11" s="26" t="n"/>
      <c r="G11" s="26" t="n"/>
      <c r="H11" s="25" t="n"/>
      <c r="I11" s="1" t="n"/>
      <c r="J11" s="1" t="n"/>
    </row>
    <row r="12">
      <c r="A12" s="27" t="n"/>
      <c r="B12" s="27" t="n"/>
      <c r="C12" s="27" t="n"/>
      <c r="D12" s="27" t="n"/>
      <c r="E12" s="26" t="n"/>
      <c r="F12" s="26" t="n"/>
      <c r="G12" s="26" t="n"/>
      <c r="H12" s="27" t="n"/>
      <c r="I12" s="1" t="n"/>
      <c r="J12" s="1" t="n"/>
    </row>
    <row r="13">
      <c r="A13" s="25" t="n"/>
      <c r="B13" s="25" t="n"/>
      <c r="C13" s="25" t="n"/>
      <c r="D13" s="25" t="n"/>
      <c r="E13" s="26" t="n"/>
      <c r="F13" s="26" t="n"/>
      <c r="G13" s="26" t="n"/>
      <c r="H13" s="25" t="n"/>
      <c r="I13" s="1" t="n"/>
      <c r="J13" s="1" t="n"/>
    </row>
    <row r="14">
      <c r="A14" s="27" t="n"/>
      <c r="B14" s="27" t="n"/>
      <c r="C14" s="27" t="n"/>
      <c r="D14" s="27" t="n"/>
      <c r="E14" s="26" t="n"/>
      <c r="F14" s="26" t="n"/>
      <c r="G14" s="26" t="n"/>
      <c r="H14" s="27" t="n"/>
      <c r="I14" s="1" t="n"/>
      <c r="J14" s="1" t="n"/>
    </row>
    <row r="15">
      <c r="A15" s="25" t="n"/>
      <c r="B15" s="25" t="n"/>
      <c r="C15" s="25" t="n"/>
      <c r="D15" s="25" t="n"/>
      <c r="E15" s="26" t="n"/>
      <c r="F15" s="26" t="n"/>
      <c r="G15" s="26" t="n"/>
      <c r="H15" s="25" t="n"/>
      <c r="I15" s="1" t="n"/>
      <c r="J15" s="1" t="n"/>
    </row>
    <row r="16">
      <c r="A16" s="27" t="n"/>
      <c r="B16" s="27" t="n"/>
      <c r="C16" s="27" t="n"/>
      <c r="D16" s="27" t="n"/>
      <c r="E16" s="26" t="n"/>
      <c r="F16" s="26" t="n"/>
      <c r="G16" s="26" t="n"/>
      <c r="H16" s="27" t="n"/>
      <c r="I16" s="1" t="n"/>
      <c r="J16" s="1" t="n"/>
    </row>
    <row r="17">
      <c r="A17" s="25" t="n"/>
      <c r="B17" s="25" t="n"/>
      <c r="C17" s="25" t="n"/>
      <c r="D17" s="25" t="n"/>
      <c r="E17" s="26" t="n"/>
      <c r="F17" s="26" t="n"/>
      <c r="G17" s="26" t="n"/>
      <c r="H17" s="25" t="n"/>
      <c r="I17" s="1" t="n"/>
      <c r="J17" s="1" t="n"/>
    </row>
    <row r="18">
      <c r="A18" s="27" t="n"/>
      <c r="B18" s="27" t="n"/>
      <c r="C18" s="27" t="n"/>
      <c r="D18" s="27" t="n"/>
      <c r="E18" s="26" t="n"/>
      <c r="F18" s="26" t="n"/>
      <c r="G18" s="26" t="n"/>
      <c r="H18" s="27" t="n"/>
      <c r="I18" s="1" t="n"/>
      <c r="J18" s="1" t="n"/>
    </row>
    <row r="19">
      <c r="A19" s="25" t="n"/>
      <c r="B19" s="25" t="n"/>
      <c r="C19" s="25" t="n"/>
      <c r="D19" s="25" t="n"/>
      <c r="E19" s="26" t="n"/>
      <c r="F19" s="26" t="n"/>
      <c r="G19" s="26" t="n"/>
      <c r="H19" s="25" t="n"/>
      <c r="I19" s="1" t="n"/>
      <c r="J19" s="1" t="n"/>
    </row>
    <row r="20">
      <c r="A20" s="27" t="n"/>
      <c r="B20" s="27" t="n"/>
      <c r="C20" s="27" t="n"/>
      <c r="D20" s="27" t="n"/>
      <c r="E20" s="26" t="n"/>
      <c r="F20" s="26" t="n"/>
      <c r="G20" s="26" t="n"/>
      <c r="H20" s="27" t="n"/>
      <c r="I20" s="1" t="n"/>
      <c r="J20" s="1" t="n"/>
    </row>
    <row r="21">
      <c r="A21" s="25" t="n"/>
      <c r="B21" s="25" t="n"/>
      <c r="C21" s="25" t="n"/>
      <c r="D21" s="25" t="n"/>
      <c r="E21" s="26" t="n"/>
      <c r="F21" s="26" t="n"/>
      <c r="G21" s="26" t="n"/>
      <c r="H21" s="25" t="n"/>
      <c r="I21" s="1" t="n"/>
      <c r="J21" s="1" t="n"/>
    </row>
    <row r="22">
      <c r="A22" s="27" t="n"/>
      <c r="B22" s="27" t="n"/>
      <c r="C22" s="27" t="n"/>
      <c r="D22" s="27" t="n"/>
      <c r="E22" s="26" t="n"/>
      <c r="F22" s="26" t="n"/>
      <c r="G22" s="26" t="n"/>
      <c r="H22" s="27" t="n"/>
      <c r="I22" s="1" t="n"/>
      <c r="J22" s="1" t="n"/>
    </row>
    <row r="23">
      <c r="A23" s="25" t="n"/>
      <c r="B23" s="25" t="n"/>
      <c r="C23" s="25" t="n"/>
      <c r="D23" s="25" t="n"/>
      <c r="E23" s="26" t="n"/>
      <c r="F23" s="26" t="n"/>
      <c r="G23" s="26" t="n"/>
      <c r="H23" s="25" t="n"/>
      <c r="I23" s="1" t="n"/>
      <c r="J23" s="1" t="n"/>
    </row>
    <row r="24">
      <c r="A24" s="27" t="n"/>
      <c r="B24" s="27" t="n"/>
      <c r="C24" s="27" t="n"/>
      <c r="D24" s="27" t="n"/>
      <c r="E24" s="26" t="n"/>
      <c r="F24" s="26" t="n"/>
      <c r="G24" s="26" t="n"/>
      <c r="H24" s="27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88624"/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9" t="inlineStr">
        <is>
          <t>Cash summary — from Report (Qx)</t>
        </is>
      </c>
      <c r="F1" s="1" t="n"/>
      <c r="G1" s="1" t="n"/>
      <c r="H1" s="1" t="n"/>
    </row>
    <row r="2">
      <c r="A2" s="10" t="inlineStr">
        <is>
          <t>Cash position / weekly in-out. Live values via Export live pack (CSV).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</row>
    <row r="4">
      <c r="A4" s="19" t="inlineStr">
        <is>
          <t>Position</t>
        </is>
      </c>
      <c r="B4" s="1" t="n"/>
      <c r="C4" s="1" t="n"/>
      <c r="D4" s="1" t="n"/>
      <c r="E4" s="1" t="n"/>
      <c r="F4" s="1" t="n"/>
      <c r="G4" s="1" t="n"/>
      <c r="H4" s="1" t="n"/>
    </row>
    <row r="5">
      <c r="A5" s="11" t="inlineStr">
        <is>
          <t>Metric</t>
        </is>
      </c>
      <c r="B5" s="11" t="inlineStr">
        <is>
          <t>Value £ / date</t>
        </is>
      </c>
      <c r="C5" s="1" t="n"/>
      <c r="D5" s="1" t="n"/>
      <c r="E5" s="1" t="n"/>
      <c r="F5" s="1" t="n"/>
      <c r="G5" s="1" t="n"/>
      <c r="H5" s="1" t="n"/>
    </row>
    <row r="6">
      <c r="A6" s="7" t="inlineStr">
        <is>
          <t>Cash as at</t>
        </is>
      </c>
      <c r="B6" s="28" t="n"/>
      <c r="C6" s="1" t="n"/>
      <c r="D6" s="1" t="n"/>
      <c r="E6" s="1" t="n"/>
      <c r="F6" s="1" t="n"/>
      <c r="G6" s="1" t="n"/>
      <c r="H6" s="1" t="n"/>
    </row>
    <row r="7">
      <c r="A7" s="7" t="inlineStr">
        <is>
          <t>HSBC</t>
        </is>
      </c>
      <c r="B7" s="21" t="n"/>
      <c r="C7" s="1" t="n"/>
      <c r="D7" s="1" t="n"/>
      <c r="E7" s="1" t="n"/>
      <c r="F7" s="1" t="n"/>
      <c r="G7" s="1" t="n"/>
      <c r="H7" s="1" t="n"/>
    </row>
    <row r="8">
      <c r="A8" s="7" t="inlineStr">
        <is>
          <t>Amex owing</t>
        </is>
      </c>
      <c r="B8" s="21" t="n"/>
      <c r="C8" s="1" t="n"/>
      <c r="D8" s="1" t="n"/>
      <c r="E8" s="1" t="n"/>
      <c r="F8" s="1" t="n"/>
      <c r="G8" s="1" t="n"/>
      <c r="H8" s="1" t="n"/>
    </row>
    <row r="9">
      <c r="A9" s="7" t="inlineStr">
        <is>
          <t>Cash position</t>
        </is>
      </c>
      <c r="B9" s="21" t="n"/>
      <c r="C9" s="1" t="n"/>
      <c r="D9" s="1" t="n"/>
      <c r="E9" s="1" t="n"/>
      <c r="F9" s="1" t="n"/>
      <c r="G9" s="1" t="n"/>
      <c r="H9" s="1" t="n"/>
    </row>
    <row r="10">
      <c r="A10" s="7" t="inlineStr">
        <is>
          <t>Net treasury</t>
        </is>
      </c>
      <c r="B10" s="21" t="n"/>
      <c r="C10" s="1" t="n"/>
      <c r="D10" s="1" t="n"/>
      <c r="E10" s="1" t="n"/>
      <c r="F10" s="1" t="n"/>
      <c r="G10" s="1" t="n"/>
      <c r="H10" s="1" t="n"/>
    </row>
    <row r="11">
      <c r="A11" s="7" t="inlineStr">
        <is>
          <t>Forecast in</t>
        </is>
      </c>
      <c r="B11" s="21" t="n"/>
      <c r="C11" s="1" t="n"/>
      <c r="D11" s="1" t="n"/>
      <c r="E11" s="1" t="n"/>
      <c r="F11" s="1" t="n"/>
      <c r="G11" s="1" t="n"/>
      <c r="H11" s="1" t="n"/>
    </row>
    <row r="12">
      <c r="A12" s="7" t="inlineStr">
        <is>
          <t>Forecast out</t>
        </is>
      </c>
      <c r="B12" s="21" t="n"/>
      <c r="C12" s="1" t="n"/>
      <c r="D12" s="1" t="n"/>
      <c r="E12" s="1" t="n"/>
      <c r="F12" s="1" t="n"/>
      <c r="G12" s="1" t="n"/>
      <c r="H12" s="1" t="n"/>
    </row>
    <row r="13">
      <c r="A13" s="7" t="inlineStr">
        <is>
          <t>Forecast cash</t>
        </is>
      </c>
      <c r="B13" s="21" t="n"/>
      <c r="C13" s="1" t="n"/>
      <c r="D13" s="1" t="n"/>
      <c r="E13" s="1" t="n"/>
      <c r="F13" s="1" t="n"/>
      <c r="G13" s="1" t="n"/>
      <c r="H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</row>
    <row r="16">
      <c r="A16" s="19" t="inlineStr">
        <is>
          <t>Weekly in / out</t>
        </is>
      </c>
      <c r="B16" s="1" t="n"/>
      <c r="C16" s="1" t="n"/>
      <c r="D16" s="1" t="n"/>
      <c r="E16" s="1" t="n"/>
      <c r="F16" s="1" t="n"/>
      <c r="G16" s="1" t="n"/>
      <c r="H16" s="1" t="n"/>
    </row>
    <row r="17">
      <c r="A17" s="11" t="inlineStr">
        <is>
          <t>Week</t>
        </is>
      </c>
      <c r="B17" s="11" t="inlineStr">
        <is>
          <t>Cash £</t>
        </is>
      </c>
      <c r="C17" s="11" t="inlineStr">
        <is>
          <t>In £</t>
        </is>
      </c>
      <c r="D17" s="11" t="inlineStr">
        <is>
          <t>Out £</t>
        </is>
      </c>
      <c r="E17" s="1" t="n"/>
      <c r="F17" s="1" t="n"/>
      <c r="G17" s="1" t="n"/>
      <c r="H17" s="1" t="n"/>
    </row>
    <row r="18">
      <c r="A18" s="25" t="n"/>
      <c r="B18" s="21" t="n"/>
      <c r="C18" s="21" t="n"/>
      <c r="D18" s="21" t="n"/>
      <c r="E18" s="1" t="n"/>
      <c r="F18" s="1" t="n"/>
      <c r="G18" s="1" t="n"/>
      <c r="H18" s="1" t="n"/>
    </row>
    <row r="19">
      <c r="A19" s="27" t="n"/>
      <c r="B19" s="21" t="n"/>
      <c r="C19" s="21" t="n"/>
      <c r="D19" s="21" t="n"/>
      <c r="E19" s="1" t="n"/>
      <c r="F19" s="1" t="n"/>
      <c r="G19" s="1" t="n"/>
      <c r="H19" s="1" t="n"/>
    </row>
    <row r="20">
      <c r="A20" s="25" t="n"/>
      <c r="B20" s="21" t="n"/>
      <c r="C20" s="21" t="n"/>
      <c r="D20" s="21" t="n"/>
      <c r="E20" s="1" t="n"/>
      <c r="F20" s="1" t="n"/>
      <c r="G20" s="1" t="n"/>
      <c r="H20" s="1" t="n"/>
    </row>
    <row r="21">
      <c r="A21" s="27" t="n"/>
      <c r="B21" s="21" t="n"/>
      <c r="C21" s="21" t="n"/>
      <c r="D21" s="21" t="n"/>
      <c r="E21" s="1" t="n"/>
      <c r="F21" s="1" t="n"/>
      <c r="G21" s="1" t="n"/>
      <c r="H21" s="1" t="n"/>
    </row>
    <row r="22">
      <c r="A22" s="25" t="n"/>
      <c r="B22" s="21" t="n"/>
      <c r="C22" s="21" t="n"/>
      <c r="D22" s="21" t="n"/>
      <c r="E22" s="1" t="n"/>
      <c r="F22" s="1" t="n"/>
      <c r="G22" s="1" t="n"/>
      <c r="H22" s="1" t="n"/>
    </row>
    <row r="23">
      <c r="A23" s="27" t="n"/>
      <c r="B23" s="21" t="n"/>
      <c r="C23" s="21" t="n"/>
      <c r="D23" s="21" t="n"/>
      <c r="E23" s="1" t="n"/>
      <c r="F23" s="1" t="n"/>
      <c r="G23" s="1" t="n"/>
      <c r="H23" s="1" t="n"/>
    </row>
    <row r="24">
      <c r="A24" s="25" t="n"/>
      <c r="B24" s="21" t="n"/>
      <c r="C24" s="21" t="n"/>
      <c r="D24" s="21" t="n"/>
      <c r="E24" s="1" t="n"/>
      <c r="F24" s="1" t="n"/>
      <c r="G24" s="1" t="n"/>
      <c r="H24" s="1" t="n"/>
    </row>
    <row r="25">
      <c r="A25" s="27" t="n"/>
      <c r="B25" s="21" t="n"/>
      <c r="C25" s="21" t="n"/>
      <c r="D25" s="21" t="n"/>
      <c r="E25" s="1" t="n"/>
      <c r="F25" s="1" t="n"/>
      <c r="G25" s="1" t="n"/>
      <c r="H25" s="1" t="n"/>
    </row>
    <row r="26">
      <c r="A26" s="25" t="n"/>
      <c r="B26" s="21" t="n"/>
      <c r="C26" s="21" t="n"/>
      <c r="D26" s="21" t="n"/>
      <c r="E26" s="1" t="n"/>
      <c r="F26" s="1" t="n"/>
      <c r="G26" s="1" t="n"/>
      <c r="H26" s="1" t="n"/>
    </row>
    <row r="27">
      <c r="A27" s="27" t="n"/>
      <c r="B27" s="21" t="n"/>
      <c r="C27" s="21" t="n"/>
      <c r="D27" s="21" t="n"/>
      <c r="E27" s="1" t="n"/>
      <c r="F27" s="1" t="n"/>
      <c r="G27" s="1" t="n"/>
      <c r="H27" s="1" t="n"/>
    </row>
    <row r="28">
      <c r="A28" s="25" t="n"/>
      <c r="B28" s="21" t="n"/>
      <c r="C28" s="21" t="n"/>
      <c r="D28" s="21" t="n"/>
      <c r="E28" s="1" t="n"/>
      <c r="F28" s="1" t="n"/>
      <c r="G28" s="1" t="n"/>
      <c r="H28" s="1" t="n"/>
    </row>
    <row r="29">
      <c r="A29" s="27" t="n"/>
      <c r="B29" s="21" t="n"/>
      <c r="C29" s="21" t="n"/>
      <c r="D29" s="21" t="n"/>
      <c r="E29" s="1" t="n"/>
      <c r="F29" s="1" t="n"/>
      <c r="G29" s="1" t="n"/>
      <c r="H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9588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>
      <c r="A1" s="1" t="n"/>
      <c r="B1" s="1" t="n"/>
      <c r="C1" s="1" t="n"/>
      <c r="D1" s="1" t="n"/>
      <c r="E1" s="1" t="n"/>
      <c r="F1" s="1" t="n"/>
    </row>
    <row r="2">
      <c r="A2" s="1" t="n"/>
      <c r="B2" s="9" t="inlineStr">
        <is>
          <t>Assumptions &amp; disclaimer</t>
        </is>
      </c>
      <c r="C2" s="1" t="n"/>
      <c r="D2" s="1" t="n"/>
      <c r="E2" s="1" t="n"/>
      <c r="F2" s="1" t="n"/>
    </row>
    <row r="3">
      <c r="A3" s="1" t="n"/>
      <c r="B3" s="1" t="n"/>
      <c r="C3" s="1" t="n"/>
      <c r="D3" s="1" t="n"/>
      <c r="E3" s="1" t="n"/>
      <c r="F3" s="1" t="n"/>
    </row>
    <row r="4">
      <c r="A4" s="1" t="n"/>
      <c r="B4" s="29" t="inlineStr">
        <is>
          <t>• CONFIDENTIAL — Ryan-only. Not for external circulation without redaction.</t>
        </is>
      </c>
      <c r="C4" s="1" t="n"/>
      <c r="D4" s="1" t="n"/>
      <c r="E4" s="1" t="n"/>
      <c r="F4" s="1" t="n"/>
    </row>
    <row r="5">
      <c r="A5" s="1" t="n"/>
      <c r="C5" s="1" t="n"/>
      <c r="D5" s="1" t="n"/>
      <c r="E5" s="1" t="n"/>
      <c r="F5" s="1" t="n"/>
    </row>
    <row r="6">
      <c r="A6" s="1" t="n"/>
      <c r="B6" s="1" t="n"/>
      <c r="C6" s="1" t="n"/>
      <c r="D6" s="1" t="n"/>
      <c r="E6" s="1" t="n"/>
      <c r="F6" s="1" t="n"/>
    </row>
    <row r="7">
      <c r="A7" s="1" t="n"/>
      <c r="B7" s="29" t="inlineStr">
        <is>
          <t>• This pack is external management information (MI). It is not audited and is not statutory accounts.</t>
        </is>
      </c>
      <c r="C7" s="1" t="n"/>
      <c r="D7" s="1" t="n"/>
      <c r="E7" s="1" t="n"/>
      <c r="F7" s="1" t="n"/>
    </row>
    <row r="8">
      <c r="A8" s="1" t="n"/>
      <c r="C8" s="1" t="n"/>
      <c r="D8" s="1" t="n"/>
      <c r="E8" s="1" t="n"/>
      <c r="F8" s="1" t="n"/>
    </row>
    <row r="9">
      <c r="A9" s="1" t="n"/>
      <c r="B9" s="1" t="n"/>
      <c r="C9" s="1" t="n"/>
      <c r="D9" s="1" t="n"/>
      <c r="E9" s="1" t="n"/>
      <c r="F9" s="1" t="n"/>
    </row>
    <row r="10">
      <c r="A10" s="1" t="n"/>
      <c r="B10" s="29" t="inlineStr">
        <is>
          <t>• Job P&amp;L is inferred from Treun Roc Connect (payment applications, bank lines, costs) — not a Sage trial balance.</t>
        </is>
      </c>
      <c r="C10" s="1" t="n"/>
      <c r="D10" s="1" t="n"/>
      <c r="E10" s="1" t="n"/>
      <c r="F10" s="1" t="n"/>
    </row>
    <row r="11">
      <c r="A11" s="1" t="n"/>
      <c r="C11" s="1" t="n"/>
      <c r="D11" s="1" t="n"/>
      <c r="E11" s="1" t="n"/>
      <c r="F11" s="1" t="n"/>
    </row>
    <row r="12">
      <c r="A12" s="1" t="n"/>
      <c r="B12" s="1" t="n"/>
      <c r="C12" s="1" t="n"/>
      <c r="D12" s="1" t="n"/>
      <c r="E12" s="1" t="n"/>
      <c r="F12" s="1" t="n"/>
    </row>
    <row r="13">
      <c r="A13" s="1" t="n"/>
      <c r="B13" s="29" t="inlineStr">
        <is>
          <t>• Invoice net/VAT/gross follow desk VAT rules (including DRC jobs where VAT is nil on the face).</t>
        </is>
      </c>
      <c r="C13" s="1" t="n"/>
      <c r="D13" s="1" t="n"/>
      <c r="E13" s="1" t="n"/>
      <c r="F13" s="1" t="n"/>
    </row>
    <row r="14">
      <c r="A14" s="1" t="n"/>
      <c r="C14" s="1" t="n"/>
      <c r="D14" s="1" t="n"/>
      <c r="E14" s="1" t="n"/>
      <c r="F14" s="1" t="n"/>
    </row>
    <row r="15">
      <c r="A15" s="1" t="n"/>
      <c r="B15" s="1" t="n"/>
      <c r="C15" s="1" t="n"/>
      <c r="D15" s="1" t="n"/>
      <c r="E15" s="1" t="n"/>
      <c r="F15" s="1" t="n"/>
    </row>
    <row r="16">
      <c r="A16" s="1" t="n"/>
      <c r="B16" s="29" t="inlineStr">
        <is>
          <t>• Cash position / weekly series come from the Report engine (Qx). Closing balances respect HSBC/Amex book marks.</t>
        </is>
      </c>
      <c r="C16" s="1" t="n"/>
      <c r="D16" s="1" t="n"/>
      <c r="E16" s="1" t="n"/>
      <c r="F16" s="1" t="n"/>
    </row>
    <row r="17">
      <c r="A17" s="1" t="n"/>
      <c r="C17" s="1" t="n"/>
      <c r="D17" s="1" t="n"/>
      <c r="E17" s="1" t="n"/>
      <c r="F17" s="1" t="n"/>
    </row>
    <row r="18">
      <c r="A18" s="1" t="n"/>
      <c r="B18" s="1" t="n"/>
      <c r="C18" s="1" t="n"/>
      <c r="D18" s="1" t="n"/>
      <c r="E18" s="1" t="n"/>
      <c r="F18" s="1" t="n"/>
    </row>
    <row r="19">
      <c r="A19" s="1" t="n"/>
      <c r="B19" s="29" t="inlineStr">
        <is>
          <t>• Live fill: on Finance (Ryan), use Export live pack (CSV). Filename TR-Connect-Management-PnL-LIVE-YYYY-MM-DD.csv.</t>
        </is>
      </c>
      <c r="C19" s="1" t="n"/>
      <c r="D19" s="1" t="n"/>
      <c r="E19" s="1" t="n"/>
      <c r="F19" s="1" t="n"/>
    </row>
    <row r="20">
      <c r="A20" s="1" t="n"/>
      <c r="C20" s="1" t="n"/>
      <c r="D20" s="1" t="n"/>
      <c r="E20" s="1" t="n"/>
      <c r="F20" s="1" t="n"/>
    </row>
    <row r="21">
      <c r="A21" s="1" t="n"/>
      <c r="B21" s="1" t="n"/>
      <c r="C21" s="1" t="n"/>
      <c r="D21" s="1" t="n"/>
      <c r="E21" s="1" t="n"/>
      <c r="F21" s="1" t="n"/>
    </row>
    <row r="22">
      <c r="A22" s="1" t="n"/>
      <c r="B22" s="29" t="inlineStr">
        <is>
          <t>• Board template: download Management P&amp;L .xlsx from Finance or /exports/TR-Connect-Management-PnL.xlsx.</t>
        </is>
      </c>
      <c r="C22" s="1" t="n"/>
      <c r="D22" s="1" t="n"/>
      <c r="E22" s="1" t="n"/>
      <c r="F22" s="1" t="n"/>
    </row>
    <row r="23">
      <c r="A23" s="1" t="n"/>
      <c r="C23" s="1" t="n"/>
      <c r="D23" s="1" t="n"/>
      <c r="E23" s="1" t="n"/>
      <c r="F23" s="1" t="n"/>
    </row>
    <row r="24">
      <c r="A24" s="1" t="n"/>
      <c r="B24" s="1" t="n"/>
      <c r="C24" s="1" t="n"/>
      <c r="D24" s="1" t="n"/>
      <c r="E24" s="1" t="n"/>
      <c r="F24" s="1" t="n"/>
    </row>
    <row r="25">
      <c r="A25" s="1" t="n"/>
      <c r="B25" s="29" t="inlineStr">
        <is>
          <t>• Office users see Finance summary only (n0). Demo no longer passes Fd. Workers remain blocked on Report.</t>
        </is>
      </c>
      <c r="C25" s="1" t="n"/>
      <c r="D25" s="1" t="n"/>
      <c r="E25" s="1" t="n"/>
      <c r="F25" s="1" t="n"/>
    </row>
    <row r="26">
      <c r="A26" s="1" t="n"/>
      <c r="C26" s="1" t="n"/>
      <c r="D26" s="1" t="n"/>
      <c r="E26" s="1" t="n"/>
      <c r="F26" s="1" t="n"/>
    </row>
    <row r="27">
      <c r="A27" s="1" t="n"/>
      <c r="B27" s="1" t="n"/>
      <c r="C27" s="1" t="n"/>
      <c r="D27" s="1" t="n"/>
      <c r="E27" s="1" t="n"/>
      <c r="F27" s="1" t="n"/>
    </row>
    <row r="28">
      <c r="A28" s="1" t="n"/>
      <c r="B28" s="29" t="inlineStr">
        <is>
          <t>• Generated 2026-09-17 18:40 BST.</t>
        </is>
      </c>
      <c r="C28" s="1" t="n"/>
      <c r="D28" s="1" t="n"/>
      <c r="E28" s="1" t="n"/>
      <c r="F28" s="1" t="n"/>
    </row>
    <row r="29">
      <c r="A29" s="1" t="n"/>
      <c r="C29" s="1" t="n"/>
      <c r="D29" s="1" t="n"/>
      <c r="E29" s="1" t="n"/>
      <c r="F29" s="1" t="n"/>
    </row>
    <row r="30">
      <c r="A30" s="1" t="n"/>
      <c r="B30" s="1" t="n"/>
      <c r="C30" s="1" t="n"/>
      <c r="D30" s="1" t="n"/>
      <c r="E30" s="1" t="n"/>
      <c r="F30" s="1" t="n"/>
    </row>
    <row r="31">
      <c r="A31" s="1" t="n"/>
      <c r="B31" s="1" t="n"/>
      <c r="C31" s="1" t="n"/>
      <c r="D31" s="1" t="n"/>
      <c r="E31" s="1" t="n"/>
      <c r="F31" s="1" t="n"/>
    </row>
    <row r="32">
      <c r="A32" s="1" t="n"/>
      <c r="B32" s="1" t="n"/>
      <c r="C32" s="1" t="n"/>
      <c r="D32" s="1" t="n"/>
      <c r="E32" s="1" t="n"/>
      <c r="F32" s="1" t="n"/>
    </row>
    <row r="33">
      <c r="A33" s="1" t="n"/>
      <c r="B33" s="1" t="n"/>
      <c r="C33" s="1" t="n"/>
      <c r="D33" s="1" t="n"/>
      <c r="E33" s="1" t="n"/>
      <c r="F33" s="1" t="n"/>
    </row>
    <row r="34">
      <c r="A34" s="1" t="n"/>
      <c r="B34" s="1" t="n"/>
      <c r="C34" s="1" t="n"/>
      <c r="D34" s="1" t="n"/>
      <c r="E34" s="1" t="n"/>
      <c r="F34" s="1" t="n"/>
    </row>
    <row r="35">
      <c r="A35" s="1" t="n"/>
      <c r="B35" s="1" t="n"/>
      <c r="C35" s="1" t="n"/>
      <c r="D35" s="1" t="n"/>
      <c r="E35" s="1" t="n"/>
      <c r="F35" s="1" t="n"/>
    </row>
  </sheetData>
  <mergeCells count="9">
    <mergeCell ref="B4:B5"/>
    <mergeCell ref="B13:B14"/>
    <mergeCell ref="B22:B23"/>
    <mergeCell ref="B7:B8"/>
    <mergeCell ref="B25:B26"/>
    <mergeCell ref="B16:B17"/>
    <mergeCell ref="B10:B11"/>
    <mergeCell ref="B28:B29"/>
    <mergeCell ref="B19:B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2026-09-17T17:40:58Z</dcterms:created>
  <dcterms:modified xsi:type="dcterms:W3CDTF">2026-09-17T17:40:58Z</dcterms:modified>
</cp:coreProperties>
</file>