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amp;L" sheetId="2" state="visible" r:id="rId2"/>
    <sheet name="Job margin detail" sheetId="3" state="visible" r:id="rId3"/>
    <sheet name="Invoice register" sheetId="4" state="visible" r:id="rId4"/>
    <sheet name="Cash summary" sheetId="5" state="visible" r:id="rId5"/>
    <sheet name="VAT control" sheetId="6" state="visible" r:id="rId6"/>
    <sheet name="Assumptions &amp; disclaimer" sheetId="7" state="visible" r:id="rId7"/>
    <sheet name="Audit log" sheetId="8" state="visible" r:id="rId8"/>
  </sheets>
  <definedNames>
    <definedName name="_xlnm.Print_Area" localSheetId="0">'Cover'!$A$1:$G$40</definedName>
    <definedName name="_xlnm.Print_Titles" localSheetId="1">'P&amp;L'!$1:$6</definedName>
    <definedName name="_xlnm.Print_Area" localSheetId="1">'P&amp;L'!$A$1:$G$105</definedName>
    <definedName name="_xlnm._FilterDatabase" localSheetId="2" hidden="1">'Job margin detail'!$A$5:$H$35</definedName>
    <definedName name="_xlnm.Print_Titles" localSheetId="2">'Job margin detail'!$1:$5</definedName>
    <definedName name="_xlnm._FilterDatabase" localSheetId="3" hidden="1">'Invoice register'!$A$5:$H$45</definedName>
    <definedName name="_xlnm.Print_Titles" localSheetId="3">'Invoice register'!$1:$5</definedName>
    <definedName name="_xlnm._FilterDatabase" localSheetId="7" hidden="1">'Audit log'!$A$5:$H$55</definedName>
    <definedName name="_xlnm.Print_Titles" localSheetId="7">'Audit log'!$1:$5</definedName>
  </definedNames>
  <calcPr calcId="124519" fullCalcOnLoad="1"/>
</workbook>
</file>

<file path=xl/styles.xml><?xml version="1.0" encoding="utf-8"?>
<styleSheet xmlns="http://schemas.openxmlformats.org/spreadsheetml/2006/main">
  <numFmts count="5">
    <numFmt numFmtId="164" formatCode="£#,##0"/>
    <numFmt numFmtId="165" formatCode="0.0%"/>
    <numFmt numFmtId="166" formatCode="yyyy-mm-dd"/>
    <numFmt numFmtId="167" formatCode="DD/MM/YYYY"/>
    <numFmt numFmtId="168" formatCode="£#,##0.00"/>
  </numFmts>
  <fonts count="22">
    <font>
      <name val="Calibri"/>
      <family val="2"/>
      <color theme="1"/>
      <sz val="11"/>
      <scheme val="minor"/>
    </font>
    <font>
      <name val="Calibri"/>
      <b val="1"/>
      <color rgb="00D4AF37"/>
      <sz val="20"/>
    </font>
    <font>
      <name val="Calibri"/>
      <color rgb="009A9588"/>
      <sz val="10"/>
    </font>
    <font>
      <name val="Calibri"/>
      <b val="1"/>
      <color rgb="00F3F0E6"/>
      <sz val="22"/>
    </font>
    <font>
      <name val="Calibri"/>
      <b val="1"/>
      <color rgb="00D4AF37"/>
      <sz val="14"/>
    </font>
    <font>
      <name val="Calibri"/>
      <b val="1"/>
      <color rgb="00F3F0E6"/>
      <sz val="12"/>
    </font>
    <font>
      <name val="Calibri"/>
      <color rgb="00F3F0E6"/>
      <sz val="11"/>
    </font>
    <font>
      <name val="Calibri"/>
      <b val="1"/>
      <color rgb="000A0A0A"/>
      <sz val="11"/>
    </font>
    <font>
      <name val="Calibri"/>
      <b val="1"/>
      <color rgb="00D4AF37"/>
      <sz val="12"/>
    </font>
    <font>
      <name val="Calibri"/>
      <b val="1"/>
      <color rgb="000A0A0A"/>
      <sz val="10"/>
    </font>
    <font>
      <name val="Calibri"/>
      <b val="1"/>
      <color rgb="00D4AF37"/>
      <sz val="11"/>
    </font>
    <font>
      <name val="Calibri"/>
      <color rgb="009A9588"/>
      <sz val="9"/>
    </font>
    <font>
      <name val="Calibri"/>
      <b val="1"/>
      <color rgb="00F3F0E6"/>
      <sz val="16"/>
    </font>
    <font>
      <name val="Calibri"/>
      <b val="1"/>
      <color rgb="00D4AF37"/>
      <sz val="9"/>
    </font>
    <font>
      <name val="Calibri"/>
      <color rgb="00F3F0E6"/>
      <sz val="10"/>
    </font>
    <font>
      <name val="Calibri"/>
      <b val="1"/>
      <color rgb="00F3F0E6"/>
      <sz val="11"/>
    </font>
    <font>
      <name val="Calibri"/>
      <color rgb="000A0A0A"/>
      <sz val="10"/>
    </font>
    <font>
      <name val="Calibri"/>
      <b val="1"/>
      <color rgb="000A0A0A"/>
      <sz val="13"/>
    </font>
    <font>
      <name val="Calibri"/>
      <b val="1"/>
      <color rgb="000A0A0A"/>
      <sz val="12"/>
    </font>
    <font>
      <name val="Calibri"/>
      <b val="1"/>
      <color rgb="009A9588"/>
      <sz val="9"/>
    </font>
    <font>
      <name val="Calibri"/>
      <b val="1"/>
      <color rgb="00D4AF37"/>
      <sz val="18"/>
    </font>
    <font>
      <name val="Calibri"/>
      <i val="1"/>
      <color rgb="009A9588"/>
      <sz val="10"/>
    </font>
  </fonts>
  <fills count="10">
    <fill>
      <patternFill/>
    </fill>
    <fill>
      <patternFill patternType="gray125"/>
    </fill>
    <fill>
      <patternFill patternType="solid">
        <fgColor rgb="000A0A0A"/>
      </patternFill>
    </fill>
    <fill>
      <patternFill patternType="solid">
        <fgColor rgb="00D4AF37"/>
      </patternFill>
    </fill>
    <fill>
      <patternFill patternType="solid">
        <fgColor rgb="001A1A1A"/>
      </patternFill>
    </fill>
    <fill>
      <patternFill patternType="solid">
        <fgColor rgb="00121212"/>
      </patternFill>
    </fill>
    <fill>
      <patternFill patternType="solid">
        <fgColor rgb="001E1E1C"/>
      </patternFill>
    </fill>
    <fill>
      <patternFill patternType="solid">
        <fgColor rgb="002A2410"/>
      </patternFill>
    </fill>
    <fill>
      <patternFill patternType="solid">
        <fgColor rgb="00161616"/>
      </patternFill>
    </fill>
    <fill>
      <patternFill patternType="solid">
        <fgColor rgb="00A88624"/>
      </patternFill>
    </fill>
  </fills>
  <borders count="8">
    <border>
      <left/>
      <right/>
      <top/>
      <bottom/>
      <diagonal/>
    </border>
    <border>
      <bottom style="thin">
        <color rgb="00D4AF37"/>
      </bottom>
    </border>
    <border>
      <left style="thin">
        <color rgb="00A88624"/>
      </left>
      <right style="thin">
        <color rgb="00A88624"/>
      </right>
      <top style="thin">
        <color rgb="00A88624"/>
      </top>
      <bottom style="thin">
        <color rgb="00A88624"/>
      </bottom>
    </border>
    <border>
      <left style="thin">
        <color rgb="00333333"/>
      </left>
      <right style="thin">
        <color rgb="00333333"/>
      </right>
      <top style="thin">
        <color rgb="00333333"/>
      </top>
      <bottom style="thin">
        <color rgb="00333333"/>
      </bottom>
    </border>
    <border>
      <left/>
      <right/>
      <top style="thin">
        <color rgb="00333333"/>
      </top>
      <bottom/>
      <diagonal/>
    </border>
    <border>
      <left/>
      <right style="thin">
        <color rgb="00333333"/>
      </right>
      <top style="thin">
        <color rgb="00333333"/>
      </top>
      <bottom/>
      <diagonal/>
    </border>
    <border>
      <left/>
      <right style="thin">
        <color rgb="00333333"/>
      </right>
      <top style="thin">
        <color rgb="00333333"/>
      </top>
      <bottom style="thin">
        <color rgb="00333333"/>
      </bottom>
      <diagonal/>
    </border>
    <border>
      <bottom style="medium">
        <color rgb="00D4AF37"/>
      </bottom>
    </border>
  </borders>
  <cellStyleXfs count="1">
    <xf numFmtId="0" fontId="0" fillId="0" borderId="0"/>
  </cellStyleXfs>
  <cellXfs count="85">
    <xf numFmtId="0" fontId="0" fillId="0" borderId="0" pivotButton="0" quotePrefix="0" xfId="0"/>
    <xf numFmtId="0" fontId="0" fillId="2" borderId="0" pivotButton="0" quotePrefix="0" xfId="0"/>
    <xf numFmtId="0" fontId="0" fillId="3" borderId="0" pivotButton="0" quotePrefix="0" xfId="0"/>
    <xf numFmtId="0" fontId="1" fillId="2" borderId="0" applyAlignment="1" pivotButton="0" quotePrefix="0" xfId="0">
      <alignment horizontal="left" vertical="center" wrapText="1"/>
    </xf>
    <xf numFmtId="0" fontId="2" fillId="2" borderId="0" pivotButton="0" quotePrefix="0" xfId="0"/>
    <xf numFmtId="0" fontId="0" fillId="2" borderId="1" pivotButton="0" quotePrefix="0" xfId="0"/>
    <xf numFmtId="0" fontId="3" fillId="2" borderId="0" applyAlignment="1" pivotButton="0" quotePrefix="0" xfId="0">
      <alignment horizontal="left" vertical="center" wrapText="1"/>
    </xf>
    <xf numFmtId="0" fontId="4" fillId="2" borderId="0" pivotButton="0" quotePrefix="0" xfId="0"/>
    <xf numFmtId="0" fontId="5" fillId="2" borderId="0" pivotButton="0" quotePrefix="0" xfId="0"/>
    <xf numFmtId="0" fontId="6" fillId="2" borderId="0" pivotButton="0" quotePrefix="0" xfId="0"/>
    <xf numFmtId="0" fontId="7" fillId="3" borderId="2" applyAlignment="1" pivotButton="0" quotePrefix="0" xfId="0">
      <alignment horizontal="center" vertical="center" wrapText="1"/>
    </xf>
    <xf numFmtId="0" fontId="0" fillId="3" borderId="2" pivotButton="0" quotePrefix="0" xfId="0"/>
    <xf numFmtId="0" fontId="8" fillId="2" borderId="0" pivotButton="0" quotePrefix="0" xfId="0"/>
    <xf numFmtId="0" fontId="9" fillId="3" borderId="0" applyAlignment="1" pivotButton="0" quotePrefix="0" xfId="0">
      <alignment horizontal="center" vertical="center" wrapText="1"/>
    </xf>
    <xf numFmtId="0" fontId="10" fillId="4" borderId="3" pivotButton="0" quotePrefix="0" xfId="0"/>
    <xf numFmtId="0" fontId="6" fillId="5" borderId="3" pivotButton="0" quotePrefix="0" xfId="0"/>
    <xf numFmtId="0" fontId="6" fillId="6" borderId="3" pivotButton="0" quotePrefix="0" xfId="0"/>
    <xf numFmtId="0" fontId="6" fillId="4" borderId="2" applyAlignment="1" pivotButton="0" quotePrefix="0" xfId="0">
      <alignment horizontal="left" vertical="top" wrapText="1"/>
    </xf>
    <xf numFmtId="0" fontId="0" fillId="4" borderId="2" pivotButton="0" quotePrefix="0" xfId="0"/>
    <xf numFmtId="0" fontId="11" fillId="2" borderId="0" pivotButton="0" quotePrefix="0" xfId="0"/>
    <xf numFmtId="0" fontId="12" fillId="2" borderId="0" pivotButton="0" quotePrefix="0" xfId="0"/>
    <xf numFmtId="0" fontId="13" fillId="2" borderId="0" pivotButton="0" quotePrefix="0" xfId="0"/>
    <xf numFmtId="0" fontId="9" fillId="3" borderId="2" applyAlignment="1" pivotButton="0" quotePrefix="0" xfId="0">
      <alignment horizontal="center" vertical="center" wrapText="1"/>
    </xf>
    <xf numFmtId="0" fontId="2" fillId="4" borderId="3" pivotButton="0" quotePrefix="0" xfId="0"/>
    <xf numFmtId="0" fontId="0" fillId="0" borderId="6" pivotButton="0" quotePrefix="0" xfId="0"/>
    <xf numFmtId="0" fontId="0" fillId="4" borderId="3" pivotButton="0" quotePrefix="0" xfId="0"/>
    <xf numFmtId="0" fontId="14" fillId="7" borderId="3" pivotButton="0" quotePrefix="0" xfId="0"/>
    <xf numFmtId="164" fontId="14" fillId="7" borderId="3" pivotButton="0" quotePrefix="0" xfId="0"/>
    <xf numFmtId="0" fontId="13" fillId="7" borderId="3" pivotButton="0" quotePrefix="0" xfId="0"/>
    <xf numFmtId="0" fontId="11" fillId="7" borderId="3" pivotButton="0" quotePrefix="0" xfId="0"/>
    <xf numFmtId="0" fontId="14" fillId="8" borderId="3" pivotButton="0" quotePrefix="0" xfId="0"/>
    <xf numFmtId="164" fontId="14" fillId="8" borderId="3" pivotButton="0" quotePrefix="0" xfId="0"/>
    <xf numFmtId="0" fontId="14" fillId="6" borderId="3" pivotButton="0" quotePrefix="0" xfId="0"/>
    <xf numFmtId="164" fontId="14" fillId="6" borderId="3" pivotButton="0" quotePrefix="0" xfId="0"/>
    <xf numFmtId="0" fontId="7" fillId="9" borderId="7" pivotButton="0" quotePrefix="0" xfId="0"/>
    <xf numFmtId="0" fontId="16" fillId="9" borderId="7" pivotButton="0" quotePrefix="0" xfId="0"/>
    <xf numFmtId="164" fontId="7" fillId="9" borderId="7" pivotButton="0" quotePrefix="0" xfId="0"/>
    <xf numFmtId="0" fontId="8" fillId="5" borderId="2" pivotButton="0" quotePrefix="0" xfId="0"/>
    <xf numFmtId="0" fontId="0" fillId="5" borderId="2" pivotButton="0" quotePrefix="0" xfId="0"/>
    <xf numFmtId="164" fontId="8" fillId="5" borderId="2" pivotButton="0" quotePrefix="0" xfId="0"/>
    <xf numFmtId="0" fontId="10" fillId="5" borderId="2" pivotButton="0" quotePrefix="0" xfId="0"/>
    <xf numFmtId="165" fontId="10" fillId="5" borderId="2" pivotButton="0" quotePrefix="0" xfId="0"/>
    <xf numFmtId="0" fontId="2" fillId="6" borderId="3" pivotButton="0" quotePrefix="0" xfId="0"/>
    <xf numFmtId="0" fontId="13" fillId="6" borderId="3" pivotButton="0" quotePrefix="0" xfId="0"/>
    <xf numFmtId="0" fontId="11" fillId="6" borderId="3" pivotButton="0" quotePrefix="0" xfId="0"/>
    <xf numFmtId="0" fontId="18" fillId="3" borderId="2" pivotButton="0" quotePrefix="0" xfId="0"/>
    <xf numFmtId="164" fontId="18" fillId="3" borderId="2" pivotButton="0" quotePrefix="0" xfId="0"/>
    <xf numFmtId="165" fontId="18" fillId="3" borderId="2" pivotButton="0" quotePrefix="0" xfId="0"/>
    <xf numFmtId="0" fontId="8" fillId="0" borderId="0" pivotButton="0" quotePrefix="0" xfId="0"/>
    <xf numFmtId="0" fontId="0" fillId="0" borderId="1" pivotButton="0" quotePrefix="0" xfId="0"/>
    <xf numFmtId="0" fontId="19" fillId="4" borderId="2" applyAlignment="1" pivotButton="0" quotePrefix="0" xfId="0">
      <alignment horizontal="center" vertical="center" wrapText="1"/>
    </xf>
    <xf numFmtId="164" fontId="20" fillId="5" borderId="2" applyAlignment="1" pivotButton="0" quotePrefix="0" xfId="0">
      <alignment horizontal="center" vertical="center" wrapText="1"/>
    </xf>
    <xf numFmtId="165" fontId="20" fillId="5" borderId="2" applyAlignment="1" pivotButton="0" quotePrefix="0" xfId="0">
      <alignment horizontal="center" vertical="center" wrapText="1"/>
    </xf>
    <xf numFmtId="0" fontId="11" fillId="4" borderId="0" applyAlignment="1" pivotButton="0" quotePrefix="0" xfId="0">
      <alignment horizontal="left" vertical="top" wrapText="1"/>
    </xf>
    <xf numFmtId="0" fontId="10" fillId="2" borderId="0" pivotButton="0" quotePrefix="0" xfId="0"/>
    <xf numFmtId="164" fontId="21" fillId="7" borderId="3" pivotButton="0" quotePrefix="0" xfId="0"/>
    <xf numFmtId="165" fontId="21" fillId="7" borderId="3" pivotButton="0" quotePrefix="0" xfId="0"/>
    <xf numFmtId="164" fontId="21" fillId="8" borderId="3" pivotButton="0" quotePrefix="0" xfId="0"/>
    <xf numFmtId="165" fontId="21" fillId="8" borderId="3" pivotButton="0" quotePrefix="0" xfId="0"/>
    <xf numFmtId="164" fontId="21" fillId="6" borderId="3" pivotButton="0" quotePrefix="0" xfId="0"/>
    <xf numFmtId="165" fontId="21" fillId="6" borderId="3" pivotButton="0" quotePrefix="0" xfId="0"/>
    <xf numFmtId="0" fontId="7" fillId="3" borderId="2" pivotButton="0" quotePrefix="0" xfId="0"/>
    <xf numFmtId="164" fontId="7" fillId="3" borderId="2" pivotButton="0" quotePrefix="0" xfId="0"/>
    <xf numFmtId="165" fontId="7" fillId="3" borderId="2" pivotButton="0" quotePrefix="0" xfId="0"/>
    <xf numFmtId="167" fontId="14" fillId="7" borderId="3" pivotButton="0" quotePrefix="0" xfId="0"/>
    <xf numFmtId="168" fontId="14" fillId="7" borderId="3" pivotButton="0" quotePrefix="0" xfId="0"/>
    <xf numFmtId="168" fontId="21" fillId="7" borderId="3" pivotButton="0" quotePrefix="0" xfId="0"/>
    <xf numFmtId="167" fontId="14" fillId="8" borderId="3" pivotButton="0" quotePrefix="0" xfId="0"/>
    <xf numFmtId="168" fontId="14" fillId="8" borderId="3" pivotButton="0" quotePrefix="0" xfId="0"/>
    <xf numFmtId="168" fontId="21" fillId="8" borderId="3" pivotButton="0" quotePrefix="0" xfId="0"/>
    <xf numFmtId="167" fontId="14" fillId="6" borderId="3" pivotButton="0" quotePrefix="0" xfId="0"/>
    <xf numFmtId="168" fontId="14" fillId="6" borderId="3" pivotButton="0" quotePrefix="0" xfId="0"/>
    <xf numFmtId="168" fontId="21" fillId="6" borderId="3" pivotButton="0" quotePrefix="0" xfId="0"/>
    <xf numFmtId="168" fontId="7" fillId="3" borderId="2" pivotButton="0" quotePrefix="0" xfId="0"/>
    <xf numFmtId="0" fontId="10" fillId="0" borderId="0" pivotButton="0" quotePrefix="0" xfId="0"/>
    <xf numFmtId="0" fontId="6" fillId="0" borderId="0" pivotButton="0" quotePrefix="0" xfId="0"/>
    <xf numFmtId="0" fontId="6" fillId="7" borderId="3" pivotButton="0" quotePrefix="0" xfId="0"/>
    <xf numFmtId="168" fontId="7" fillId="9" borderId="7" pivotButton="0" quotePrefix="0" xfId="0"/>
    <xf numFmtId="168" fontId="18" fillId="3" borderId="2" pivotButton="0" quotePrefix="0" xfId="0"/>
    <xf numFmtId="0" fontId="14" fillId="4" borderId="2" applyAlignment="1" pivotButton="0" quotePrefix="0" xfId="0">
      <alignment horizontal="left" vertical="top" wrapText="1"/>
    </xf>
    <xf numFmtId="0" fontId="6" fillId="5" borderId="3" applyAlignment="1" pivotButton="0" quotePrefix="0" xfId="0">
      <alignment horizontal="left" vertical="center" wrapText="1"/>
    </xf>
    <xf numFmtId="0" fontId="2" fillId="5" borderId="3" pivotButton="0" quotePrefix="0" xfId="0"/>
    <xf numFmtId="0" fontId="6" fillId="4" borderId="3" applyAlignment="1" pivotButton="0" quotePrefix="0" xfId="0">
      <alignment horizontal="left" vertical="center" wrapText="1"/>
    </xf>
    <xf numFmtId="0" fontId="6" fillId="6" borderId="2" applyAlignment="1" pivotButton="0" quotePrefix="0" xfId="0">
      <alignment horizontal="left" vertical="top" wrapText="1"/>
    </xf>
    <xf numFmtId="0" fontId="0" fillId="6"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685800" cy="6858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G42"/>
  <sheetViews>
    <sheetView showGridLines="0" workbookViewId="0">
      <selection activeCell="A1" sqref="A1"/>
    </sheetView>
  </sheetViews>
  <sheetFormatPr baseColWidth="8" defaultRowHeight="15"/>
  <cols>
    <col width="3" customWidth="1" min="1" max="1"/>
    <col width="18" customWidth="1" min="2" max="2"/>
    <col width="24" customWidth="1" min="3" max="3"/>
    <col width="24" customWidth="1" min="4" max="4"/>
    <col width="22" customWidth="1" min="5" max="5"/>
    <col width="18" customWidth="1" min="6" max="6"/>
    <col width="3" customWidth="1" min="7" max="7"/>
  </cols>
  <sheetData>
    <row r="1">
      <c r="A1" s="1" t="n"/>
      <c r="B1" s="1" t="n"/>
      <c r="C1" s="1" t="n"/>
      <c r="D1" s="1" t="n"/>
      <c r="E1" s="1" t="n"/>
      <c r="F1" s="1" t="n"/>
      <c r="G1" s="1" t="n"/>
    </row>
    <row r="2" ht="8" customHeight="1">
      <c r="A2" s="1" t="n"/>
      <c r="B2" s="2" t="n"/>
      <c r="C2" s="2" t="n"/>
      <c r="D2" s="2" t="n"/>
      <c r="E2" s="2" t="n"/>
      <c r="F2" s="2" t="n"/>
      <c r="G2" s="1" t="n"/>
    </row>
    <row r="3">
      <c r="A3" s="1" t="n"/>
      <c r="B3" s="1" t="n"/>
      <c r="C3" s="1" t="n"/>
      <c r="D3" s="1" t="n"/>
      <c r="E3" s="1" t="n"/>
      <c r="F3" s="1" t="n"/>
      <c r="G3" s="1" t="n"/>
    </row>
    <row r="4">
      <c r="A4" s="1" t="n"/>
      <c r="B4" s="1" t="n"/>
      <c r="C4" s="3" t="inlineStr">
        <is>
          <t>TREUN ROC CONTRACTS</t>
        </is>
      </c>
      <c r="G4" s="1" t="n"/>
    </row>
    <row r="5">
      <c r="A5" s="1" t="n"/>
      <c r="B5" s="1" t="n"/>
      <c r="C5" s="4" t="inlineStr">
        <is>
          <t>TR Connect  ·  Management Information Pack</t>
        </is>
      </c>
      <c r="G5" s="1" t="n"/>
    </row>
    <row r="6">
      <c r="A6" s="1" t="n"/>
      <c r="B6" s="1" t="n"/>
      <c r="C6" s="1" t="n"/>
      <c r="D6" s="1" t="n"/>
      <c r="E6" s="1" t="n"/>
      <c r="F6" s="1" t="n"/>
      <c r="G6" s="1" t="n"/>
    </row>
    <row r="7">
      <c r="A7" s="1" t="n"/>
      <c r="B7" s="5" t="n"/>
      <c r="C7" s="5" t="n"/>
      <c r="D7" s="5" t="n"/>
      <c r="E7" s="5" t="n"/>
      <c r="F7" s="5" t="n"/>
      <c r="G7" s="1" t="n"/>
    </row>
    <row r="8">
      <c r="A8" s="1" t="n"/>
      <c r="B8" s="1" t="n"/>
      <c r="C8" s="1" t="n"/>
      <c r="D8" s="1" t="n"/>
      <c r="E8" s="1" t="n"/>
      <c r="F8" s="1" t="n"/>
      <c r="G8" s="1" t="n"/>
    </row>
    <row r="9">
      <c r="A9" s="1" t="n"/>
      <c r="B9" s="6" t="inlineStr">
        <is>
          <t>Management Profit &amp; Loss</t>
        </is>
      </c>
      <c r="G9" s="1" t="n"/>
    </row>
    <row r="10">
      <c r="A10" s="1" t="n"/>
      <c r="B10" s="7" t="inlineStr">
        <is>
          <t>CONFIDENTIAL — INTERNAL</t>
        </is>
      </c>
      <c r="G10" s="1" t="n"/>
    </row>
    <row r="11">
      <c r="A11" s="1" t="n"/>
      <c r="B11" s="8" t="inlineStr">
        <is>
          <t>For selected third-party MI only</t>
        </is>
      </c>
      <c r="G11" s="1" t="n"/>
    </row>
    <row r="12">
      <c r="A12" s="1" t="n"/>
      <c r="B12" s="1" t="n"/>
      <c r="C12" s="1" t="n"/>
      <c r="D12" s="1" t="n"/>
      <c r="E12" s="1" t="n"/>
      <c r="F12" s="1" t="n"/>
      <c r="G12" s="1" t="n"/>
    </row>
    <row r="13">
      <c r="A13" s="1" t="n"/>
      <c r="B13" s="9" t="inlineStr">
        <is>
          <t>Version date: 17 September 2026 (Europe/London)  ·  Period: September 2026  ·  YTD Apr 2026 – Sep 2026</t>
        </is>
      </c>
      <c r="G13" s="1" t="n"/>
    </row>
    <row r="14">
      <c r="A14" s="1" t="n"/>
      <c r="B14" s="1" t="n"/>
      <c r="C14" s="1" t="n"/>
      <c r="D14" s="1" t="n"/>
      <c r="E14" s="1" t="n"/>
      <c r="F14" s="1" t="n"/>
      <c r="G14" s="1" t="n"/>
    </row>
    <row r="15" ht="22" customHeight="1">
      <c r="A15" s="1" t="n"/>
      <c r="B15" s="10" t="inlineStr">
        <is>
          <t>NOT AUDITED</t>
        </is>
      </c>
      <c r="C15" s="11" t="n"/>
      <c r="D15" s="11" t="n"/>
      <c r="E15" s="11" t="n"/>
      <c r="F15" s="11" t="n"/>
      <c r="G15" s="1" t="n"/>
    </row>
    <row r="16" ht="22" customHeight="1">
      <c r="A16" s="1" t="n"/>
      <c r="B16" s="10" t="inlineStr">
        <is>
          <t>NOT STATUTORY ACCOUNTS</t>
        </is>
      </c>
      <c r="C16" s="11" t="n"/>
      <c r="D16" s="11" t="n"/>
      <c r="E16" s="11" t="n"/>
      <c r="F16" s="11" t="n"/>
      <c r="G16" s="1" t="n"/>
    </row>
    <row r="17" ht="22" customHeight="1">
      <c r="A17" s="1" t="n"/>
      <c r="B17" s="10" t="inlineStr">
        <is>
          <t>NOT FOR COMPANIES HOUSE OR CORPORATION TAX FILING</t>
        </is>
      </c>
      <c r="C17" s="11" t="n"/>
      <c r="D17" s="11" t="n"/>
      <c r="E17" s="11" t="n"/>
      <c r="F17" s="11" t="n"/>
      <c r="G17" s="1" t="n"/>
    </row>
    <row r="18">
      <c r="A18" s="1" t="n"/>
      <c r="B18" s="1" t="n"/>
      <c r="C18" s="1" t="n"/>
      <c r="D18" s="1" t="n"/>
      <c r="E18" s="1" t="n"/>
      <c r="F18" s="1" t="n"/>
      <c r="G18" s="1" t="n"/>
    </row>
    <row r="19">
      <c r="A19" s="1" t="n"/>
      <c r="B19" s="12" t="inlineStr">
        <is>
          <t>DOCUMENT CONTROL</t>
        </is>
      </c>
      <c r="C19" s="1" t="n"/>
      <c r="D19" s="1" t="n"/>
      <c r="E19" s="1" t="n"/>
      <c r="F19" s="1" t="n"/>
      <c r="G19" s="1" t="n"/>
    </row>
    <row r="20">
      <c r="A20" s="1" t="n"/>
      <c r="B20" s="5" t="n"/>
      <c r="C20" s="5" t="n"/>
      <c r="D20" s="5" t="n"/>
      <c r="E20" s="5" t="n"/>
      <c r="F20" s="5" t="n"/>
      <c r="G20" s="1" t="n"/>
    </row>
    <row r="21">
      <c r="A21" s="1" t="n"/>
      <c r="B21" s="13" t="inlineStr">
        <is>
          <t>Field</t>
        </is>
      </c>
      <c r="C21" s="13" t="inlineStr">
        <is>
          <t>Detail</t>
        </is>
      </c>
      <c r="D21" s="13" t="inlineStr">
        <is>
          <t>Initials</t>
        </is>
      </c>
      <c r="E21" s="13" t="inlineStr">
        <is>
          <t>Date</t>
        </is>
      </c>
      <c r="F21" s="1" t="n"/>
      <c r="G21" s="1" t="n"/>
    </row>
    <row r="22">
      <c r="A22" s="1" t="n"/>
      <c r="B22" s="14" t="inlineStr">
        <is>
          <t>Prepared by</t>
        </is>
      </c>
      <c r="C22" s="15" t="inlineStr">
        <is>
          <t>Finance / Commercial (TR Connect)</t>
        </is>
      </c>
      <c r="D22" s="16" t="inlineStr"/>
      <c r="E22" s="15" t="inlineStr">
        <is>
          <t>17 September 2026</t>
        </is>
      </c>
      <c r="F22" s="1" t="n"/>
      <c r="G22" s="1" t="n"/>
    </row>
    <row r="23">
      <c r="A23" s="1" t="n"/>
      <c r="B23" s="14" t="inlineStr">
        <is>
          <t>Reviewed by</t>
        </is>
      </c>
      <c r="C23" s="15" t="inlineStr">
        <is>
          <t>Ryan Wilson (MD) — Ryan-only release</t>
        </is>
      </c>
      <c r="D23" s="16" t="inlineStr"/>
      <c r="E23" s="15" t="inlineStr"/>
      <c r="F23" s="1" t="n"/>
      <c r="G23" s="1" t="n"/>
    </row>
    <row r="24">
      <c r="A24" s="1" t="n"/>
      <c r="B24" s="14" t="inlineStr">
        <is>
          <t>Approved by</t>
        </is>
      </c>
      <c r="C24" s="15" t="inlineStr"/>
      <c r="D24" s="16" t="inlineStr"/>
      <c r="E24" s="15" t="inlineStr"/>
      <c r="F24" s="1" t="n"/>
      <c r="G24" s="1" t="n"/>
    </row>
    <row r="25">
      <c r="A25" s="1" t="n"/>
      <c r="B25" s="14" t="inlineStr">
        <is>
          <t>Period</t>
        </is>
      </c>
      <c r="C25" s="15" t="inlineStr">
        <is>
          <t>September 2026  ·  YTD Apr 2026 – Sep 2026</t>
        </is>
      </c>
      <c r="D25" s="16" t="inlineStr"/>
      <c r="E25" s="15" t="inlineStr"/>
      <c r="F25" s="1" t="n"/>
      <c r="G25" s="1" t="n"/>
    </row>
    <row r="26">
      <c r="A26" s="1" t="n"/>
      <c r="B26" s="14" t="inlineStr">
        <is>
          <t>Classification</t>
        </is>
      </c>
      <c r="C26" s="15" t="inlineStr">
        <is>
          <t>CONFIDENTIAL — INTERNAL MI</t>
        </is>
      </c>
      <c r="D26" s="16" t="inlineStr"/>
      <c r="E26" s="15" t="inlineStr"/>
      <c r="F26" s="1" t="n"/>
      <c r="G26" s="1" t="n"/>
    </row>
    <row r="27">
      <c r="A27" s="1" t="n"/>
      <c r="B27" s="14" t="inlineStr">
        <is>
          <t>Distribution</t>
        </is>
      </c>
      <c r="C27" s="15" t="inlineStr">
        <is>
          <t>Ryan-only external MI recipients (named)</t>
        </is>
      </c>
      <c r="D27" s="16" t="inlineStr"/>
      <c r="E27" s="15" t="inlineStr"/>
      <c r="F27" s="1" t="n"/>
      <c r="G27" s="1" t="n"/>
    </row>
    <row r="28">
      <c r="A28" s="1" t="n"/>
      <c r="B28" s="14" t="inlineStr">
        <is>
          <t>Accounting basis</t>
        </is>
      </c>
      <c r="C28" s="15" t="inlineStr">
        <is>
          <t>Management / internal — not GAAP/FRS 102 statutory</t>
        </is>
      </c>
      <c r="D28" s="16" t="inlineStr"/>
      <c r="E28" s="15" t="inlineStr"/>
      <c r="F28" s="1" t="n"/>
      <c r="G28" s="1" t="n"/>
    </row>
    <row r="29">
      <c r="A29" s="1" t="n"/>
      <c r="B29" s="1" t="n"/>
      <c r="C29" s="1" t="n"/>
      <c r="D29" s="1" t="n"/>
      <c r="E29" s="1" t="n"/>
      <c r="F29" s="1" t="n"/>
      <c r="G29" s="1" t="n"/>
    </row>
    <row r="30">
      <c r="A30" s="1" t="n"/>
      <c r="B30" s="1" t="n"/>
      <c r="C30" s="1" t="n"/>
      <c r="D30" s="1" t="n"/>
      <c r="E30" s="1" t="n"/>
      <c r="F30" s="1" t="n"/>
      <c r="G30" s="1" t="n"/>
    </row>
    <row r="31">
      <c r="A31" s="1" t="n"/>
      <c r="B31" s="17" t="inlineStr">
        <is>
          <t>PURPOSE — This pack is a management Profit &amp; Loss and supporting MI for Treun Roc Contracts (TR Connect). It is designed for Ryan-only circulation to selected third parties for commercial discussion. Figures on SAMPLE rows are illustrative and must be replaced with live Connect / ledger data before external issue.
SCOPE — Revenue by job, cost of sales, gross profit, editable overheads, operating profit; job margin detail; invoice register (Xero/Sage handoff columns); cash summary; VAT control template. This is NOT a substitute for statutory accounts, audit, or tax returns.</t>
        </is>
      </c>
      <c r="C31" s="18" t="n"/>
      <c r="D31" s="18" t="n"/>
      <c r="E31" s="18" t="n"/>
      <c r="F31" s="18" t="n"/>
      <c r="G31" s="1" t="n"/>
    </row>
    <row r="32">
      <c r="A32" s="1" t="n"/>
      <c r="B32" s="18" t="n"/>
      <c r="C32" s="18" t="n"/>
      <c r="D32" s="18" t="n"/>
      <c r="E32" s="18" t="n"/>
      <c r="F32" s="18" t="n"/>
      <c r="G32" s="1" t="n"/>
    </row>
    <row r="33">
      <c r="A33" s="1" t="n"/>
      <c r="B33" s="18" t="n"/>
      <c r="C33" s="18" t="n"/>
      <c r="D33" s="18" t="n"/>
      <c r="E33" s="18" t="n"/>
      <c r="F33" s="18" t="n"/>
      <c r="G33" s="1" t="n"/>
    </row>
    <row r="34">
      <c r="A34" s="1" t="n"/>
      <c r="B34" s="18" t="n"/>
      <c r="C34" s="18" t="n"/>
      <c r="D34" s="18" t="n"/>
      <c r="E34" s="18" t="n"/>
      <c r="F34" s="18" t="n"/>
      <c r="G34" s="1" t="n"/>
    </row>
    <row r="35">
      <c r="A35" s="1" t="n"/>
      <c r="B35" s="18" t="n"/>
      <c r="C35" s="18" t="n"/>
      <c r="D35" s="18" t="n"/>
      <c r="E35" s="18" t="n"/>
      <c r="F35" s="18" t="n"/>
      <c r="G35" s="1" t="n"/>
    </row>
    <row r="36">
      <c r="A36" s="1" t="n"/>
      <c r="B36" s="1" t="n"/>
      <c r="C36" s="1" t="n"/>
      <c r="D36" s="1" t="n"/>
      <c r="E36" s="1" t="n"/>
      <c r="F36" s="1" t="n"/>
      <c r="G36" s="1" t="n"/>
    </row>
    <row r="37">
      <c r="A37" s="1" t="n"/>
      <c r="B37" s="19" t="inlineStr">
        <is>
          <t>Generated 2026-09-17 18:39 BST  ·  File: TR-Connect-Management-PnL.xlsx  ·  © Treun Roc Contracts</t>
        </is>
      </c>
      <c r="G37" s="1" t="n"/>
    </row>
    <row r="38">
      <c r="A38" s="1" t="n"/>
      <c r="B38" s="1" t="n"/>
      <c r="C38" s="1" t="n"/>
      <c r="D38" s="1" t="n"/>
      <c r="E38" s="1" t="n"/>
      <c r="F38" s="1" t="n"/>
      <c r="G38" s="1" t="n"/>
    </row>
    <row r="39" ht="6" customHeight="1">
      <c r="A39" s="1" t="n"/>
      <c r="B39" s="2" t="n"/>
      <c r="C39" s="2" t="n"/>
      <c r="D39" s="2" t="n"/>
      <c r="E39" s="2" t="n"/>
      <c r="F39" s="2" t="n"/>
      <c r="G39" s="1" t="n"/>
    </row>
    <row r="40">
      <c r="A40" s="1" t="n"/>
      <c r="B40" s="1" t="n"/>
      <c r="C40" s="1" t="n"/>
      <c r="D40" s="1" t="n"/>
      <c r="E40" s="1" t="n"/>
      <c r="F40" s="1" t="n"/>
      <c r="G40" s="1" t="n"/>
    </row>
    <row r="41">
      <c r="A41" s="1" t="n"/>
      <c r="B41" s="1" t="n"/>
      <c r="C41" s="1" t="n"/>
      <c r="D41" s="1" t="n"/>
      <c r="E41" s="1" t="n"/>
      <c r="F41" s="1" t="n"/>
      <c r="G41" s="1" t="n"/>
    </row>
    <row r="42">
      <c r="A42" s="1" t="n"/>
      <c r="B42" s="1" t="n"/>
      <c r="C42" s="1" t="n"/>
      <c r="D42" s="1" t="n"/>
      <c r="E42" s="1" t="n"/>
      <c r="F42" s="1" t="n"/>
      <c r="G42" s="1" t="n"/>
    </row>
  </sheetData>
  <mergeCells count="11">
    <mergeCell ref="B16:F16"/>
    <mergeCell ref="C4:F4"/>
    <mergeCell ref="B10:F10"/>
    <mergeCell ref="B11:F11"/>
    <mergeCell ref="B15:F15"/>
    <mergeCell ref="B31:F35"/>
    <mergeCell ref="B37:F37"/>
    <mergeCell ref="C5:F5"/>
    <mergeCell ref="B17:F17"/>
    <mergeCell ref="B9:F9"/>
    <mergeCell ref="B13:F13"/>
  </mergeCells>
  <pageMargins left="0.5" right="0.5" top="0.75" bottom="0.75" header="0.3" footer="0.3"/>
  <pageSetup orientation="portrait" paperSize="9" fitToHeight="0" fitToWidth="1"/>
  <headerFooter>
    <oddHeader>&amp;C&amp;"Calibri"&amp;9 Treun Roc Contracts  |  TR Connect  |  CONFIDENTIAL — INTERNAL MI</oddHeader>
    <oddFooter>&amp;LTreun Roc Contracts — Management P&amp;L&amp;CCONFIDENTIAL&amp;RPage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G104"/>
  <sheetViews>
    <sheetView showGridLines="0" workbookViewId="0">
      <pane ySplit="6" topLeftCell="A7" activePane="bottomLeft" state="frozen"/>
      <selection pane="bottomLeft" activeCell="A1" sqref="A1"/>
    </sheetView>
  </sheetViews>
  <sheetFormatPr baseColWidth="8" defaultRowHeight="15"/>
  <cols>
    <col width="14" customWidth="1" min="1" max="1"/>
    <col width="38" customWidth="1" min="2" max="2"/>
    <col width="36" customWidth="1" min="3" max="3"/>
    <col width="14" customWidth="1" min="4" max="4"/>
    <col width="14" customWidth="1" min="5" max="5"/>
    <col width="12" customWidth="1" min="6" max="6"/>
    <col width="28" customWidth="1" min="7" max="7"/>
  </cols>
  <sheetData>
    <row r="1">
      <c r="A1" s="20" t="inlineStr">
        <is>
          <t>MANAGEMENT PROFIT &amp; LOSS  ·  Classic structure</t>
        </is>
      </c>
    </row>
    <row r="2">
      <c r="A2" s="4" t="inlineStr">
        <is>
          <t>Period: September 2026  ·  YTD Apr 2026 – Sep 2026  ·  CONFIDENTIAL — INTERNAL MI  ·  SAMPLE rows marked — replace before issue</t>
        </is>
      </c>
    </row>
    <row r="3">
      <c r="A3" s="21" t="inlineStr">
        <is>
          <t>NOT audited · NOT statutory accounts · NOT for Companies House or CT filing</t>
        </is>
      </c>
    </row>
    <row r="4">
      <c r="A4" s="5" t="n"/>
      <c r="B4" s="5" t="n"/>
      <c r="C4" s="5" t="n"/>
      <c r="D4" s="5" t="n"/>
      <c r="E4" s="5" t="n"/>
      <c r="F4" s="5" t="n"/>
      <c r="G4" s="5" t="n"/>
    </row>
    <row r="5">
      <c r="A5" s="1" t="n"/>
      <c r="B5" s="1" t="n"/>
      <c r="C5" s="1" t="n"/>
      <c r="D5" s="1" t="n"/>
      <c r="E5" s="1" t="n"/>
      <c r="F5" s="1" t="n"/>
      <c r="G5" s="1" t="n"/>
    </row>
    <row r="6" ht="22" customHeight="1">
      <c r="A6" s="22" t="inlineStr">
        <is>
          <t>Job / Line</t>
        </is>
      </c>
      <c r="B6" s="22" t="inlineStr">
        <is>
          <t>Description</t>
        </is>
      </c>
      <c r="C6" s="22" t="inlineStr">
        <is>
          <t>Client</t>
        </is>
      </c>
      <c r="D6" s="22" t="inlineStr">
        <is>
          <t>Month £</t>
        </is>
      </c>
      <c r="E6" s="22" t="inlineStr">
        <is>
          <t>YTD £</t>
        </is>
      </c>
      <c r="F6" s="22" t="inlineStr">
        <is>
          <t>Flag</t>
        </is>
      </c>
      <c r="G6" s="22" t="inlineStr">
        <is>
          <t>Notes</t>
        </is>
      </c>
    </row>
    <row r="7">
      <c r="A7" s="14" t="inlineStr">
        <is>
          <t>REVENUE</t>
        </is>
      </c>
      <c r="B7" s="23" t="inlineStr">
        <is>
          <t>Job revenue (by job — links to Job margin detail)</t>
        </is>
      </c>
      <c r="C7" s="24" t="n"/>
      <c r="D7" s="25" t="n"/>
      <c r="E7" s="25" t="n"/>
      <c r="F7" s="25" t="n"/>
      <c r="G7" s="25" t="n"/>
    </row>
    <row r="8">
      <c r="A8" s="26" t="inlineStr">
        <is>
          <t>JOB-2026-014</t>
        </is>
      </c>
      <c r="B8" s="26" t="inlineStr">
        <is>
          <t>SAMPLE — A14 corridor drainage package</t>
        </is>
      </c>
      <c r="C8" s="26" t="inlineStr">
        <is>
          <t>SAMPLE — Balfour Beatty Civil Engineering</t>
        </is>
      </c>
      <c r="D8" s="27" t="n">
        <v>30833</v>
      </c>
      <c r="E8" s="27" t="n">
        <v>185000</v>
      </c>
      <c r="F8" s="28" t="inlineStr">
        <is>
          <t>SAMPLE</t>
        </is>
      </c>
      <c r="G8" s="29" t="inlineStr">
        <is>
          <t>SAMPLE ROW — delete/replace before live MI issue</t>
        </is>
      </c>
    </row>
    <row r="9">
      <c r="A9" s="26" t="inlineStr">
        <is>
          <t>JOB-2026-021</t>
        </is>
      </c>
      <c r="B9" s="26" t="inlineStr">
        <is>
          <t>SAMPLE — Midlands warehouse RC &amp; drainage</t>
        </is>
      </c>
      <c r="C9" s="26" t="inlineStr">
        <is>
          <t>SAMPLE — Vinci Construction UK</t>
        </is>
      </c>
      <c r="D9" s="27" t="n">
        <v>15333</v>
      </c>
      <c r="E9" s="27" t="n">
        <v>92000</v>
      </c>
      <c r="F9" s="28" t="inlineStr">
        <is>
          <t>SAMPLE</t>
        </is>
      </c>
      <c r="G9" s="29" t="inlineStr">
        <is>
          <t>SAMPLE ROW — delete/replace before live MI issue</t>
        </is>
      </c>
    </row>
    <row r="10">
      <c r="A10" s="26" t="inlineStr">
        <is>
          <t>JOB-2026-028</t>
        </is>
      </c>
      <c r="B10" s="26" t="inlineStr">
        <is>
          <t>SAMPLE — Hospital block civils package</t>
        </is>
      </c>
      <c r="C10" s="26" t="inlineStr">
        <is>
          <t>SAMPLE — Laing O'Rourke</t>
        </is>
      </c>
      <c r="D10" s="27" t="n">
        <v>40000</v>
      </c>
      <c r="E10" s="27" t="n">
        <v>240000</v>
      </c>
      <c r="F10" s="28" t="inlineStr">
        <is>
          <t>SAMPLE</t>
        </is>
      </c>
      <c r="G10" s="29" t="inlineStr">
        <is>
          <t>SAMPLE ROW — delete/replace before live MI issue</t>
        </is>
      </c>
    </row>
    <row r="11">
      <c r="A11" s="26" t="inlineStr">
        <is>
          <t>JOB-2026-033</t>
        </is>
      </c>
      <c r="B11" s="26" t="inlineStr">
        <is>
          <t>SAMPLE — Reactive civils (national)</t>
        </is>
      </c>
      <c r="C11" s="26" t="inlineStr">
        <is>
          <t>SAMPLE — Tier-1 framework call-off</t>
        </is>
      </c>
      <c r="D11" s="27" t="n">
        <v>8083</v>
      </c>
      <c r="E11" s="27" t="n">
        <v>48500</v>
      </c>
      <c r="F11" s="28" t="inlineStr">
        <is>
          <t>SAMPLE</t>
        </is>
      </c>
      <c r="G11" s="29" t="inlineStr">
        <is>
          <t>SAMPLE ROW — delete/replace before live MI issue</t>
        </is>
      </c>
    </row>
    <row r="12">
      <c r="A12" s="30" t="n"/>
      <c r="B12" s="30" t="n"/>
      <c r="C12" s="30" t="n"/>
      <c r="D12" s="31" t="n"/>
      <c r="E12" s="31" t="n"/>
      <c r="F12" s="30" t="n"/>
      <c r="G12" s="30" t="n"/>
    </row>
    <row r="13">
      <c r="A13" s="32" t="n"/>
      <c r="B13" s="32" t="n"/>
      <c r="C13" s="32" t="n"/>
      <c r="D13" s="33" t="n"/>
      <c r="E13" s="33" t="n"/>
      <c r="F13" s="32" t="n"/>
      <c r="G13" s="32" t="n"/>
    </row>
    <row r="14">
      <c r="A14" s="30" t="n"/>
      <c r="B14" s="30" t="n"/>
      <c r="C14" s="30" t="n"/>
      <c r="D14" s="31" t="n"/>
      <c r="E14" s="31" t="n"/>
      <c r="F14" s="30" t="n"/>
      <c r="G14" s="30" t="n"/>
    </row>
    <row r="15">
      <c r="A15" s="32" t="n"/>
      <c r="B15" s="32" t="n"/>
      <c r="C15" s="32" t="n"/>
      <c r="D15" s="33" t="n"/>
      <c r="E15" s="33" t="n"/>
      <c r="F15" s="32" t="n"/>
      <c r="G15" s="32" t="n"/>
    </row>
    <row r="16">
      <c r="A16" s="30" t="n"/>
      <c r="B16" s="30" t="n"/>
      <c r="C16" s="30" t="n"/>
      <c r="D16" s="31" t="n"/>
      <c r="E16" s="31" t="n"/>
      <c r="F16" s="30" t="n"/>
      <c r="G16" s="30" t="n"/>
    </row>
    <row r="17">
      <c r="A17" s="32" t="n"/>
      <c r="B17" s="32" t="n"/>
      <c r="C17" s="32" t="n"/>
      <c r="D17" s="33" t="n"/>
      <c r="E17" s="33" t="n"/>
      <c r="F17" s="32" t="n"/>
      <c r="G17" s="32" t="n"/>
    </row>
    <row r="18">
      <c r="A18" s="30" t="n"/>
      <c r="B18" s="30" t="n"/>
      <c r="C18" s="30" t="n"/>
      <c r="D18" s="31" t="n"/>
      <c r="E18" s="31" t="n"/>
      <c r="F18" s="30" t="n"/>
      <c r="G18" s="30" t="n"/>
    </row>
    <row r="19">
      <c r="A19" s="32" t="n"/>
      <c r="B19" s="32" t="n"/>
      <c r="C19" s="32" t="n"/>
      <c r="D19" s="33" t="n"/>
      <c r="E19" s="33" t="n"/>
      <c r="F19" s="32" t="n"/>
      <c r="G19" s="32" t="n"/>
    </row>
    <row r="20">
      <c r="A20" s="30" t="n"/>
      <c r="B20" s="30" t="n"/>
      <c r="C20" s="30" t="n"/>
      <c r="D20" s="31" t="n"/>
      <c r="E20" s="31" t="n"/>
      <c r="F20" s="30" t="n"/>
      <c r="G20" s="30" t="n"/>
    </row>
    <row r="21">
      <c r="A21" s="32" t="n"/>
      <c r="B21" s="32" t="n"/>
      <c r="C21" s="32" t="n"/>
      <c r="D21" s="33" t="n"/>
      <c r="E21" s="33" t="n"/>
      <c r="F21" s="32" t="n"/>
      <c r="G21" s="32" t="n"/>
    </row>
    <row r="22">
      <c r="A22" s="30" t="n"/>
      <c r="B22" s="30" t="n"/>
      <c r="C22" s="30" t="n"/>
      <c r="D22" s="31" t="n"/>
      <c r="E22" s="31" t="n"/>
      <c r="F22" s="30" t="n"/>
      <c r="G22" s="30" t="n"/>
    </row>
    <row r="23">
      <c r="A23" s="32" t="n"/>
      <c r="B23" s="32" t="n"/>
      <c r="C23" s="32" t="n"/>
      <c r="D23" s="33" t="n"/>
      <c r="E23" s="33" t="n"/>
      <c r="F23" s="32" t="n"/>
      <c r="G23" s="32" t="n"/>
    </row>
    <row r="24">
      <c r="A24" s="30" t="n"/>
      <c r="B24" s="30" t="n"/>
      <c r="C24" s="30" t="n"/>
      <c r="D24" s="31" t="n"/>
      <c r="E24" s="31" t="n"/>
      <c r="F24" s="30" t="n"/>
      <c r="G24" s="30" t="n"/>
    </row>
    <row r="25">
      <c r="A25" s="32" t="n"/>
      <c r="B25" s="32" t="n"/>
      <c r="C25" s="32" t="n"/>
      <c r="D25" s="33" t="n"/>
      <c r="E25" s="33" t="n"/>
      <c r="F25" s="32" t="n"/>
      <c r="G25" s="32" t="n"/>
    </row>
    <row r="26">
      <c r="A26" s="30" t="n"/>
      <c r="B26" s="30" t="n"/>
      <c r="C26" s="30" t="n"/>
      <c r="D26" s="31" t="n"/>
      <c r="E26" s="31" t="n"/>
      <c r="F26" s="30" t="n"/>
      <c r="G26" s="30" t="n"/>
    </row>
    <row r="27">
      <c r="A27" s="32" t="n"/>
      <c r="B27" s="32" t="n"/>
      <c r="C27" s="32" t="n"/>
      <c r="D27" s="33" t="n"/>
      <c r="E27" s="33" t="n"/>
      <c r="F27" s="32" t="n"/>
      <c r="G27" s="32" t="n"/>
    </row>
    <row r="28">
      <c r="A28" s="30" t="n"/>
      <c r="B28" s="30" t="n"/>
      <c r="C28" s="30" t="n"/>
      <c r="D28" s="31" t="n"/>
      <c r="E28" s="31" t="n"/>
      <c r="F28" s="30" t="n"/>
      <c r="G28" s="30" t="n"/>
    </row>
    <row r="29">
      <c r="A29" s="32" t="n"/>
      <c r="B29" s="32" t="n"/>
      <c r="C29" s="32" t="n"/>
      <c r="D29" s="33" t="n"/>
      <c r="E29" s="33" t="n"/>
      <c r="F29" s="32" t="n"/>
      <c r="G29" s="32" t="n"/>
    </row>
    <row r="30">
      <c r="A30" s="30" t="n"/>
      <c r="B30" s="30" t="n"/>
      <c r="C30" s="30" t="n"/>
      <c r="D30" s="31" t="n"/>
      <c r="E30" s="31" t="n"/>
      <c r="F30" s="30" t="n"/>
      <c r="G30" s="30" t="n"/>
    </row>
    <row r="31">
      <c r="A31" s="32" t="n"/>
      <c r="B31" s="32" t="n"/>
      <c r="C31" s="32" t="n"/>
      <c r="D31" s="33" t="n"/>
      <c r="E31" s="33" t="n"/>
      <c r="F31" s="32" t="n"/>
      <c r="G31" s="32" t="n"/>
    </row>
    <row r="32">
      <c r="A32" s="30" t="n"/>
      <c r="B32" s="30" t="n"/>
      <c r="C32" s="30" t="n"/>
      <c r="D32" s="31" t="n"/>
      <c r="E32" s="31" t="n"/>
      <c r="F32" s="30" t="n"/>
      <c r="G32" s="30" t="n"/>
    </row>
    <row r="33">
      <c r="A33" s="32" t="n"/>
      <c r="B33" s="32" t="n"/>
      <c r="C33" s="32" t="n"/>
      <c r="D33" s="33" t="n"/>
      <c r="E33" s="33" t="n"/>
      <c r="F33" s="32" t="n"/>
      <c r="G33" s="32" t="n"/>
    </row>
    <row r="34">
      <c r="A34" s="30" t="n"/>
      <c r="B34" s="30" t="n"/>
      <c r="C34" s="30" t="n"/>
      <c r="D34" s="31" t="n"/>
      <c r="E34" s="31" t="n"/>
      <c r="F34" s="30" t="n"/>
      <c r="G34" s="30" t="n"/>
    </row>
    <row r="35">
      <c r="A35" s="32" t="n"/>
      <c r="B35" s="32" t="n"/>
      <c r="C35" s="32" t="n"/>
      <c r="D35" s="33" t="n"/>
      <c r="E35" s="33" t="n"/>
      <c r="F35" s="32" t="n"/>
      <c r="G35" s="32" t="n"/>
    </row>
    <row r="36">
      <c r="A36" s="30" t="n"/>
      <c r="B36" s="30" t="n"/>
      <c r="C36" s="30" t="n"/>
      <c r="D36" s="31" t="n"/>
      <c r="E36" s="31" t="n"/>
      <c r="F36" s="30" t="n"/>
      <c r="G36" s="30" t="n"/>
    </row>
    <row r="37">
      <c r="A37" s="32" t="n"/>
      <c r="B37" s="32" t="n"/>
      <c r="C37" s="32" t="n"/>
      <c r="D37" s="33" t="n"/>
      <c r="E37" s="33" t="n"/>
      <c r="F37" s="32" t="n"/>
      <c r="G37" s="32" t="n"/>
    </row>
    <row r="38">
      <c r="A38" s="34" t="inlineStr">
        <is>
          <t>TOTAL REVENUE</t>
        </is>
      </c>
      <c r="B38" s="35" t="inlineStr"/>
      <c r="C38" s="35" t="n"/>
      <c r="D38" s="36">
        <f>SUM(D8:D37)</f>
        <v/>
      </c>
      <c r="E38" s="36">
        <f>SUM(E8:E37)</f>
        <v/>
      </c>
      <c r="F38" s="34" t="n"/>
      <c r="G38" s="34" t="n"/>
    </row>
    <row r="40">
      <c r="A40" s="14" t="inlineStr">
        <is>
          <t>COST OF SALES</t>
        </is>
      </c>
      <c r="B40" s="23" t="inlineStr">
        <is>
          <t>Direct job costs (labour, materials, subcontract, plant)</t>
        </is>
      </c>
      <c r="C40" s="24" t="n"/>
      <c r="D40" s="25" t="n"/>
      <c r="E40" s="25" t="n"/>
      <c r="F40" s="25" t="n"/>
      <c r="G40" s="25" t="n"/>
    </row>
    <row r="41">
      <c r="A41" s="26" t="inlineStr">
        <is>
          <t>JOB-2026-014</t>
        </is>
      </c>
      <c r="B41" s="26" t="inlineStr">
        <is>
          <t>CoS — SAMPLE — A14 corridor drainage package</t>
        </is>
      </c>
      <c r="C41" s="26" t="inlineStr">
        <is>
          <t>SAMPLE — Balfour Beatty Civil Engineering</t>
        </is>
      </c>
      <c r="D41" s="27" t="n">
        <v>25333</v>
      </c>
      <c r="E41" s="27" t="n">
        <v>152000</v>
      </c>
      <c r="F41" s="28" t="inlineStr">
        <is>
          <t>SAMPLE</t>
        </is>
      </c>
      <c r="G41" s="29" t="inlineStr">
        <is>
          <t>SAMPLE ROW — aligned to Job margin detail</t>
        </is>
      </c>
    </row>
    <row r="42">
      <c r="A42" s="26" t="inlineStr">
        <is>
          <t>JOB-2026-021</t>
        </is>
      </c>
      <c r="B42" s="26" t="inlineStr">
        <is>
          <t>CoS — SAMPLE — Midlands warehouse RC &amp; drainage</t>
        </is>
      </c>
      <c r="C42" s="26" t="inlineStr">
        <is>
          <t>SAMPLE — Vinci Construction UK</t>
        </is>
      </c>
      <c r="D42" s="27" t="n">
        <v>12417</v>
      </c>
      <c r="E42" s="27" t="n">
        <v>74500</v>
      </c>
      <c r="F42" s="28" t="inlineStr">
        <is>
          <t>SAMPLE</t>
        </is>
      </c>
      <c r="G42" s="29" t="inlineStr">
        <is>
          <t>SAMPLE ROW — aligned to Job margin detail</t>
        </is>
      </c>
    </row>
    <row r="43">
      <c r="A43" s="26" t="inlineStr">
        <is>
          <t>JOB-2026-028</t>
        </is>
      </c>
      <c r="B43" s="26" t="inlineStr">
        <is>
          <t>CoS — SAMPLE — Hospital block civils package</t>
        </is>
      </c>
      <c r="C43" s="26" t="inlineStr">
        <is>
          <t>SAMPLE — Laing O'Rourke</t>
        </is>
      </c>
      <c r="D43" s="27" t="n">
        <v>34167</v>
      </c>
      <c r="E43" s="27" t="n">
        <v>205000</v>
      </c>
      <c r="F43" s="28" t="inlineStr">
        <is>
          <t>SAMPLE</t>
        </is>
      </c>
      <c r="G43" s="29" t="inlineStr">
        <is>
          <t>SAMPLE ROW — aligned to Job margin detail</t>
        </is>
      </c>
    </row>
    <row r="44">
      <c r="A44" s="26" t="inlineStr">
        <is>
          <t>JOB-2026-033</t>
        </is>
      </c>
      <c r="B44" s="26" t="inlineStr">
        <is>
          <t>CoS — SAMPLE — Reactive civils (national)</t>
        </is>
      </c>
      <c r="C44" s="26" t="inlineStr">
        <is>
          <t>SAMPLE — Tier-1 framework call-off</t>
        </is>
      </c>
      <c r="D44" s="27" t="n">
        <v>6367</v>
      </c>
      <c r="E44" s="27" t="n">
        <v>38200</v>
      </c>
      <c r="F44" s="28" t="inlineStr">
        <is>
          <t>SAMPLE</t>
        </is>
      </c>
      <c r="G44" s="29" t="inlineStr">
        <is>
          <t>SAMPLE ROW — aligned to Job margin detail</t>
        </is>
      </c>
    </row>
    <row r="45">
      <c r="A45" s="30" t="n"/>
      <c r="B45" s="30" t="n"/>
      <c r="C45" s="30" t="n"/>
      <c r="D45" s="31" t="n"/>
      <c r="E45" s="31" t="n"/>
      <c r="F45" s="30" t="n"/>
      <c r="G45" s="30" t="n"/>
    </row>
    <row r="46">
      <c r="A46" s="32" t="n"/>
      <c r="B46" s="32" t="n"/>
      <c r="C46" s="32" t="n"/>
      <c r="D46" s="33" t="n"/>
      <c r="E46" s="33" t="n"/>
      <c r="F46" s="32" t="n"/>
      <c r="G46" s="32" t="n"/>
    </row>
    <row r="47">
      <c r="A47" s="30" t="n"/>
      <c r="B47" s="30" t="n"/>
      <c r="C47" s="30" t="n"/>
      <c r="D47" s="31" t="n"/>
      <c r="E47" s="31" t="n"/>
      <c r="F47" s="30" t="n"/>
      <c r="G47" s="30" t="n"/>
    </row>
    <row r="48">
      <c r="A48" s="32" t="n"/>
      <c r="B48" s="32" t="n"/>
      <c r="C48" s="32" t="n"/>
      <c r="D48" s="33" t="n"/>
      <c r="E48" s="33" t="n"/>
      <c r="F48" s="32" t="n"/>
      <c r="G48" s="32" t="n"/>
    </row>
    <row r="49">
      <c r="A49" s="30" t="n"/>
      <c r="B49" s="30" t="n"/>
      <c r="C49" s="30" t="n"/>
      <c r="D49" s="31" t="n"/>
      <c r="E49" s="31" t="n"/>
      <c r="F49" s="30" t="n"/>
      <c r="G49" s="30" t="n"/>
    </row>
    <row r="50">
      <c r="A50" s="32" t="n"/>
      <c r="B50" s="32" t="n"/>
      <c r="C50" s="32" t="n"/>
      <c r="D50" s="33" t="n"/>
      <c r="E50" s="33" t="n"/>
      <c r="F50" s="32" t="n"/>
      <c r="G50" s="32" t="n"/>
    </row>
    <row r="51">
      <c r="A51" s="30" t="n"/>
      <c r="B51" s="30" t="n"/>
      <c r="C51" s="30" t="n"/>
      <c r="D51" s="31" t="n"/>
      <c r="E51" s="31" t="n"/>
      <c r="F51" s="30" t="n"/>
      <c r="G51" s="30" t="n"/>
    </row>
    <row r="52">
      <c r="A52" s="32" t="n"/>
      <c r="B52" s="32" t="n"/>
      <c r="C52" s="32" t="n"/>
      <c r="D52" s="33" t="n"/>
      <c r="E52" s="33" t="n"/>
      <c r="F52" s="32" t="n"/>
      <c r="G52" s="32" t="n"/>
    </row>
    <row r="53">
      <c r="A53" s="30" t="n"/>
      <c r="B53" s="30" t="n"/>
      <c r="C53" s="30" t="n"/>
      <c r="D53" s="31" t="n"/>
      <c r="E53" s="31" t="n"/>
      <c r="F53" s="30" t="n"/>
      <c r="G53" s="30" t="n"/>
    </row>
    <row r="54">
      <c r="A54" s="32" t="n"/>
      <c r="B54" s="32" t="n"/>
      <c r="C54" s="32" t="n"/>
      <c r="D54" s="33" t="n"/>
      <c r="E54" s="33" t="n"/>
      <c r="F54" s="32" t="n"/>
      <c r="G54" s="32" t="n"/>
    </row>
    <row r="55">
      <c r="A55" s="30" t="n"/>
      <c r="B55" s="30" t="n"/>
      <c r="C55" s="30" t="n"/>
      <c r="D55" s="31" t="n"/>
      <c r="E55" s="31" t="n"/>
      <c r="F55" s="30" t="n"/>
      <c r="G55" s="30" t="n"/>
    </row>
    <row r="56">
      <c r="A56" s="32" t="n"/>
      <c r="B56" s="32" t="n"/>
      <c r="C56" s="32" t="n"/>
      <c r="D56" s="33" t="n"/>
      <c r="E56" s="33" t="n"/>
      <c r="F56" s="32" t="n"/>
      <c r="G56" s="32" t="n"/>
    </row>
    <row r="57">
      <c r="A57" s="30" t="n"/>
      <c r="B57" s="30" t="n"/>
      <c r="C57" s="30" t="n"/>
      <c r="D57" s="31" t="n"/>
      <c r="E57" s="31" t="n"/>
      <c r="F57" s="30" t="n"/>
      <c r="G57" s="30" t="n"/>
    </row>
    <row r="58">
      <c r="A58" s="32" t="n"/>
      <c r="B58" s="32" t="n"/>
      <c r="C58" s="32" t="n"/>
      <c r="D58" s="33" t="n"/>
      <c r="E58" s="33" t="n"/>
      <c r="F58" s="32" t="n"/>
      <c r="G58" s="32" t="n"/>
    </row>
    <row r="59">
      <c r="A59" s="30" t="n"/>
      <c r="B59" s="30" t="n"/>
      <c r="C59" s="30" t="n"/>
      <c r="D59" s="31" t="n"/>
      <c r="E59" s="31" t="n"/>
      <c r="F59" s="30" t="n"/>
      <c r="G59" s="30" t="n"/>
    </row>
    <row r="60">
      <c r="A60" s="32" t="n"/>
      <c r="B60" s="32" t="n"/>
      <c r="C60" s="32" t="n"/>
      <c r="D60" s="33" t="n"/>
      <c r="E60" s="33" t="n"/>
      <c r="F60" s="32" t="n"/>
      <c r="G60" s="32" t="n"/>
    </row>
    <row r="61">
      <c r="A61" s="30" t="n"/>
      <c r="B61" s="30" t="n"/>
      <c r="C61" s="30" t="n"/>
      <c r="D61" s="31" t="n"/>
      <c r="E61" s="31" t="n"/>
      <c r="F61" s="30" t="n"/>
      <c r="G61" s="30" t="n"/>
    </row>
    <row r="62">
      <c r="A62" s="32" t="n"/>
      <c r="B62" s="32" t="n"/>
      <c r="C62" s="32" t="n"/>
      <c r="D62" s="33" t="n"/>
      <c r="E62" s="33" t="n"/>
      <c r="F62" s="32" t="n"/>
      <c r="G62" s="32" t="n"/>
    </row>
    <row r="63">
      <c r="A63" s="30" t="n"/>
      <c r="B63" s="30" t="n"/>
      <c r="C63" s="30" t="n"/>
      <c r="D63" s="31" t="n"/>
      <c r="E63" s="31" t="n"/>
      <c r="F63" s="30" t="n"/>
      <c r="G63" s="30" t="n"/>
    </row>
    <row r="64">
      <c r="A64" s="32" t="n"/>
      <c r="B64" s="32" t="n"/>
      <c r="C64" s="32" t="n"/>
      <c r="D64" s="33" t="n"/>
      <c r="E64" s="33" t="n"/>
      <c r="F64" s="32" t="n"/>
      <c r="G64" s="32" t="n"/>
    </row>
    <row r="65">
      <c r="A65" s="30" t="n"/>
      <c r="B65" s="30" t="n"/>
      <c r="C65" s="30" t="n"/>
      <c r="D65" s="31" t="n"/>
      <c r="E65" s="31" t="n"/>
      <c r="F65" s="30" t="n"/>
      <c r="G65" s="30" t="n"/>
    </row>
    <row r="66">
      <c r="A66" s="32" t="n"/>
      <c r="B66" s="32" t="n"/>
      <c r="C66" s="32" t="n"/>
      <c r="D66" s="33" t="n"/>
      <c r="E66" s="33" t="n"/>
      <c r="F66" s="32" t="n"/>
      <c r="G66" s="32" t="n"/>
    </row>
    <row r="67">
      <c r="A67" s="30" t="n"/>
      <c r="B67" s="30" t="n"/>
      <c r="C67" s="30" t="n"/>
      <c r="D67" s="31" t="n"/>
      <c r="E67" s="31" t="n"/>
      <c r="F67" s="30" t="n"/>
      <c r="G67" s="30" t="n"/>
    </row>
    <row r="68">
      <c r="A68" s="32" t="n"/>
      <c r="B68" s="32" t="n"/>
      <c r="C68" s="32" t="n"/>
      <c r="D68" s="33" t="n"/>
      <c r="E68" s="33" t="n"/>
      <c r="F68" s="32" t="n"/>
      <c r="G68" s="32" t="n"/>
    </row>
    <row r="69">
      <c r="A69" s="30" t="n"/>
      <c r="B69" s="30" t="n"/>
      <c r="C69" s="30" t="n"/>
      <c r="D69" s="31" t="n"/>
      <c r="E69" s="31" t="n"/>
      <c r="F69" s="30" t="n"/>
      <c r="G69" s="30" t="n"/>
    </row>
    <row r="70">
      <c r="A70" s="32" t="n"/>
      <c r="B70" s="32" t="n"/>
      <c r="C70" s="32" t="n"/>
      <c r="D70" s="33" t="n"/>
      <c r="E70" s="33" t="n"/>
      <c r="F70" s="32" t="n"/>
      <c r="G70" s="32" t="n"/>
    </row>
    <row r="71">
      <c r="A71" s="34" t="inlineStr">
        <is>
          <t>TOTAL COST OF SALES</t>
        </is>
      </c>
      <c r="B71" s="34" t="n"/>
      <c r="C71" s="34" t="n"/>
      <c r="D71" s="36">
        <f>SUM(D41:D70)</f>
        <v/>
      </c>
      <c r="E71" s="36">
        <f>SUM(E41:E70)</f>
        <v/>
      </c>
      <c r="F71" s="34" t="n"/>
      <c r="G71" s="34" t="n"/>
    </row>
    <row r="73" ht="26" customHeight="1">
      <c r="A73" s="37" t="inlineStr">
        <is>
          <t>GROSS PROFIT</t>
        </is>
      </c>
      <c r="B73" s="38" t="n"/>
      <c r="C73" s="38" t="n"/>
      <c r="D73" s="39">
        <f>D38-D71</f>
        <v/>
      </c>
      <c r="E73" s="39">
        <f>E38-E71</f>
        <v/>
      </c>
      <c r="F73" s="40" t="inlineStr"/>
      <c r="G73" s="41">
        <f>IF(E38=0,"",E73/E38)</f>
        <v/>
      </c>
    </row>
    <row r="75">
      <c r="A75" s="14" t="inlineStr">
        <is>
          <t>OVERHEADS</t>
        </is>
      </c>
      <c r="B75" s="23" t="inlineStr">
        <is>
          <t>Editable management overheads — yellow/input cells</t>
        </is>
      </c>
      <c r="C75" s="24" t="n"/>
      <c r="D75" s="25" t="n"/>
      <c r="E75" s="25" t="n"/>
      <c r="F75" s="25" t="n"/>
      <c r="G75" s="25" t="n"/>
    </row>
    <row r="76">
      <c r="A76" s="32" t="inlineStr">
        <is>
          <t>OH-01</t>
        </is>
      </c>
      <c r="B76" s="32" t="inlineStr">
        <is>
          <t>Staff / payroll (non-job)</t>
        </is>
      </c>
      <c r="C76" s="42" t="inlineStr">
        <is>
          <t>Overheads</t>
        </is>
      </c>
      <c r="D76" s="33" t="n">
        <v>28500</v>
      </c>
      <c r="E76" s="33" t="n">
        <v>168000</v>
      </c>
      <c r="F76" s="43" t="inlineStr">
        <is>
          <t>EDITABLE</t>
        </is>
      </c>
      <c r="G76" s="44" t="inlineStr">
        <is>
          <t>Type over — management estimate</t>
        </is>
      </c>
    </row>
    <row r="77">
      <c r="A77" s="32" t="inlineStr">
        <is>
          <t>OH-02</t>
        </is>
      </c>
      <c r="B77" s="32" t="inlineStr">
        <is>
          <t>Directors / management</t>
        </is>
      </c>
      <c r="C77" s="42" t="inlineStr">
        <is>
          <t>Overheads</t>
        </is>
      </c>
      <c r="D77" s="33" t="n">
        <v>12000</v>
      </c>
      <c r="E77" s="33" t="n">
        <v>72000</v>
      </c>
      <c r="F77" s="43" t="inlineStr">
        <is>
          <t>EDITABLE</t>
        </is>
      </c>
      <c r="G77" s="44" t="inlineStr">
        <is>
          <t>Type over — management estimate</t>
        </is>
      </c>
    </row>
    <row r="78">
      <c r="A78" s="32" t="inlineStr">
        <is>
          <t>OH-03</t>
        </is>
      </c>
      <c r="B78" s="32" t="inlineStr">
        <is>
          <t>Office / premises</t>
        </is>
      </c>
      <c r="C78" s="42" t="inlineStr">
        <is>
          <t>Overheads</t>
        </is>
      </c>
      <c r="D78" s="33" t="n">
        <v>4200</v>
      </c>
      <c r="E78" s="33" t="n">
        <v>25200</v>
      </c>
      <c r="F78" s="43" t="inlineStr">
        <is>
          <t>EDITABLE</t>
        </is>
      </c>
      <c r="G78" s="44" t="inlineStr">
        <is>
          <t>Type over — management estimate</t>
        </is>
      </c>
    </row>
    <row r="79">
      <c r="A79" s="32" t="inlineStr">
        <is>
          <t>OH-04</t>
        </is>
      </c>
      <c r="B79" s="32" t="inlineStr">
        <is>
          <t>Insurance &amp; professional</t>
        </is>
      </c>
      <c r="C79" s="42" t="inlineStr">
        <is>
          <t>Overheads</t>
        </is>
      </c>
      <c r="D79" s="33" t="n">
        <v>3800</v>
      </c>
      <c r="E79" s="33" t="n">
        <v>22800</v>
      </c>
      <c r="F79" s="43" t="inlineStr">
        <is>
          <t>EDITABLE</t>
        </is>
      </c>
      <c r="G79" s="44" t="inlineStr">
        <is>
          <t>Type over — management estimate</t>
        </is>
      </c>
    </row>
    <row r="80">
      <c r="A80" s="32" t="inlineStr">
        <is>
          <t>OH-05</t>
        </is>
      </c>
      <c r="B80" s="32" t="inlineStr">
        <is>
          <t>Vehicles &amp; plant hire (overhead)</t>
        </is>
      </c>
      <c r="C80" s="42" t="inlineStr">
        <is>
          <t>Overheads</t>
        </is>
      </c>
      <c r="D80" s="33" t="n">
        <v>2100</v>
      </c>
      <c r="E80" s="33" t="n">
        <v>12600</v>
      </c>
      <c r="F80" s="43" t="inlineStr">
        <is>
          <t>EDITABLE</t>
        </is>
      </c>
      <c r="G80" s="44" t="inlineStr">
        <is>
          <t>Type over — management estimate</t>
        </is>
      </c>
    </row>
    <row r="81">
      <c r="A81" s="32" t="inlineStr">
        <is>
          <t>OH-06</t>
        </is>
      </c>
      <c r="B81" s="32" t="inlineStr">
        <is>
          <t>IT / software / Connect</t>
        </is>
      </c>
      <c r="C81" s="42" t="inlineStr">
        <is>
          <t>Overheads</t>
        </is>
      </c>
      <c r="D81" s="33" t="n">
        <v>1850</v>
      </c>
      <c r="E81" s="33" t="n">
        <v>11100</v>
      </c>
      <c r="F81" s="43" t="inlineStr">
        <is>
          <t>EDITABLE</t>
        </is>
      </c>
      <c r="G81" s="44" t="inlineStr">
        <is>
          <t>Type over — management estimate</t>
        </is>
      </c>
    </row>
    <row r="82">
      <c r="A82" s="32" t="inlineStr">
        <is>
          <t>OH-07</t>
        </is>
      </c>
      <c r="B82" s="32" t="inlineStr">
        <is>
          <t>Marketing / BD</t>
        </is>
      </c>
      <c r="C82" s="42" t="inlineStr">
        <is>
          <t>Overheads</t>
        </is>
      </c>
      <c r="D82" s="33" t="n">
        <v>1200</v>
      </c>
      <c r="E82" s="33" t="n">
        <v>7200</v>
      </c>
      <c r="F82" s="43" t="inlineStr">
        <is>
          <t>EDITABLE</t>
        </is>
      </c>
      <c r="G82" s="44" t="inlineStr">
        <is>
          <t>Type over — management estimate</t>
        </is>
      </c>
    </row>
    <row r="83">
      <c r="A83" s="32" t="inlineStr">
        <is>
          <t>OH-08</t>
        </is>
      </c>
      <c r="B83" s="32" t="inlineStr">
        <is>
          <t>Professional fees (accountancy/legal)</t>
        </is>
      </c>
      <c r="C83" s="42" t="inlineStr">
        <is>
          <t>Overheads</t>
        </is>
      </c>
      <c r="D83" s="33" t="n">
        <v>2500</v>
      </c>
      <c r="E83" s="33" t="n">
        <v>15000</v>
      </c>
      <c r="F83" s="43" t="inlineStr">
        <is>
          <t>EDITABLE</t>
        </is>
      </c>
      <c r="G83" s="44" t="inlineStr">
        <is>
          <t>Type over — management estimate</t>
        </is>
      </c>
    </row>
    <row r="84">
      <c r="A84" s="32" t="inlineStr">
        <is>
          <t>OH-09</t>
        </is>
      </c>
      <c r="B84" s="32" t="inlineStr">
        <is>
          <t>Bank charges / finance</t>
        </is>
      </c>
      <c r="C84" s="42" t="inlineStr">
        <is>
          <t>Overheads</t>
        </is>
      </c>
      <c r="D84" s="33" t="n">
        <v>450</v>
      </c>
      <c r="E84" s="33" t="n">
        <v>2700</v>
      </c>
      <c r="F84" s="43" t="inlineStr">
        <is>
          <t>EDITABLE</t>
        </is>
      </c>
      <c r="G84" s="44" t="inlineStr">
        <is>
          <t>Type over — management estimate</t>
        </is>
      </c>
    </row>
    <row r="85">
      <c r="A85" s="32" t="inlineStr">
        <is>
          <t>OH-10</t>
        </is>
      </c>
      <c r="B85" s="32" t="inlineStr">
        <is>
          <t>Other overheads</t>
        </is>
      </c>
      <c r="C85" s="42" t="inlineStr">
        <is>
          <t>Overheads</t>
        </is>
      </c>
      <c r="D85" s="33" t="n">
        <v>1100</v>
      </c>
      <c r="E85" s="33" t="n">
        <v>6600</v>
      </c>
      <c r="F85" s="43" t="inlineStr">
        <is>
          <t>EDITABLE</t>
        </is>
      </c>
      <c r="G85" s="44" t="inlineStr">
        <is>
          <t>Type over — management estimate</t>
        </is>
      </c>
    </row>
    <row r="86">
      <c r="A86" s="30" t="n"/>
      <c r="B86" s="30" t="n"/>
      <c r="C86" s="30" t="n"/>
      <c r="D86" s="31" t="n"/>
      <c r="E86" s="31" t="n"/>
      <c r="F86" s="30" t="n"/>
      <c r="G86" s="30" t="n"/>
    </row>
    <row r="87">
      <c r="A87" s="32" t="n"/>
      <c r="B87" s="32" t="n"/>
      <c r="C87" s="32" t="n"/>
      <c r="D87" s="33" t="n"/>
      <c r="E87" s="33" t="n"/>
      <c r="F87" s="32" t="n"/>
      <c r="G87" s="32" t="n"/>
    </row>
    <row r="88">
      <c r="A88" s="30" t="n"/>
      <c r="B88" s="30" t="n"/>
      <c r="C88" s="30" t="n"/>
      <c r="D88" s="31" t="n"/>
      <c r="E88" s="31" t="n"/>
      <c r="F88" s="30" t="n"/>
      <c r="G88" s="30" t="n"/>
    </row>
    <row r="89">
      <c r="A89" s="32" t="n"/>
      <c r="B89" s="32" t="n"/>
      <c r="C89" s="32" t="n"/>
      <c r="D89" s="33" t="n"/>
      <c r="E89" s="33" t="n"/>
      <c r="F89" s="32" t="n"/>
      <c r="G89" s="32" t="n"/>
    </row>
    <row r="90">
      <c r="A90" s="30" t="n"/>
      <c r="B90" s="30" t="n"/>
      <c r="C90" s="30" t="n"/>
      <c r="D90" s="31" t="n"/>
      <c r="E90" s="31" t="n"/>
      <c r="F90" s="30" t="n"/>
      <c r="G90" s="30" t="n"/>
    </row>
    <row r="91">
      <c r="A91" s="34" t="inlineStr">
        <is>
          <t>TOTAL OVERHEADS</t>
        </is>
      </c>
      <c r="B91" s="34" t="n"/>
      <c r="C91" s="34" t="n"/>
      <c r="D91" s="36">
        <f>SUM(D76:D90)</f>
        <v/>
      </c>
      <c r="E91" s="36">
        <f>SUM(E76:E90)</f>
        <v/>
      </c>
      <c r="F91" s="34" t="n"/>
      <c r="G91" s="34" t="n"/>
    </row>
    <row r="93" ht="28" customHeight="1">
      <c r="A93" s="45" t="inlineStr">
        <is>
          <t>OPERATING PROFIT</t>
        </is>
      </c>
      <c r="B93" s="45" t="n"/>
      <c r="C93" s="45" t="n"/>
      <c r="D93" s="46">
        <f>D73-D91</f>
        <v/>
      </c>
      <c r="E93" s="46">
        <f>E73-E91</f>
        <v/>
      </c>
      <c r="F93" s="45" t="n"/>
      <c r="G93" s="47">
        <f>IF(E38=0,"",E93/E38)</f>
        <v/>
      </c>
    </row>
    <row r="95">
      <c r="A95" s="48" t="inlineStr">
        <is>
          <t>KEY RATIOS (YTD)</t>
        </is>
      </c>
    </row>
    <row r="96">
      <c r="A96" s="49" t="n"/>
      <c r="B96" s="49" t="n"/>
      <c r="C96" s="49" t="n"/>
      <c r="D96" s="49" t="n"/>
      <c r="E96" s="49" t="n"/>
      <c r="F96" s="49" t="n"/>
      <c r="G96" s="49" t="n"/>
    </row>
    <row r="97" ht="18" customHeight="1">
      <c r="A97" s="50" t="inlineStr">
        <is>
          <t>Revenue YTD</t>
        </is>
      </c>
      <c r="B97" s="18" t="n"/>
      <c r="C97" s="50" t="inlineStr">
        <is>
          <t>Gross Profit YTD</t>
        </is>
      </c>
      <c r="D97" s="18" t="n"/>
      <c r="E97" s="50" t="inlineStr">
        <is>
          <t>GP %</t>
        </is>
      </c>
      <c r="F97" s="18" t="n"/>
    </row>
    <row r="98" ht="32" customHeight="1">
      <c r="A98" s="51">
        <f>E38</f>
        <v/>
      </c>
      <c r="B98" s="38" t="n"/>
      <c r="C98" s="51">
        <f>E73</f>
        <v/>
      </c>
      <c r="D98" s="38" t="n"/>
      <c r="E98" s="52">
        <f>IF(E38=0,"",E73/E38)</f>
        <v/>
      </c>
      <c r="F98" s="38" t="n"/>
    </row>
    <row r="100" ht="18" customHeight="1">
      <c r="A100" s="50" t="inlineStr">
        <is>
          <t>Overheads YTD</t>
        </is>
      </c>
      <c r="B100" s="18" t="n"/>
      <c r="C100" s="50" t="inlineStr">
        <is>
          <t>Operating Profit YTD</t>
        </is>
      </c>
      <c r="D100" s="18" t="n"/>
      <c r="E100" s="50" t="inlineStr">
        <is>
          <t>OP %</t>
        </is>
      </c>
      <c r="F100" s="18" t="n"/>
    </row>
    <row r="101" ht="32" customHeight="1">
      <c r="A101" s="51">
        <f>E91</f>
        <v/>
      </c>
      <c r="B101" s="38" t="n"/>
      <c r="C101" s="51">
        <f>E93</f>
        <v/>
      </c>
      <c r="D101" s="38" t="n"/>
      <c r="E101" s="52">
        <f>IF(E38=0,"",E93/E38)</f>
        <v/>
      </c>
      <c r="F101" s="38" t="n"/>
    </row>
    <row r="103">
      <c r="A103" s="53" t="inlineStr">
        <is>
          <t>Note: Month and YTD columns are independent inputs for management timing. Job rows should reconcile to Job margin detail. Overheads are editable estimates. SAMPLE data is illustrative only.</t>
        </is>
      </c>
    </row>
    <row r="104"/>
  </sheetData>
  <mergeCells count="19">
    <mergeCell ref="C101:D101"/>
    <mergeCell ref="B7:C7"/>
    <mergeCell ref="A98:B98"/>
    <mergeCell ref="C98:D98"/>
    <mergeCell ref="E98:F98"/>
    <mergeCell ref="A103:G104"/>
    <mergeCell ref="C97:D97"/>
    <mergeCell ref="C100:D100"/>
    <mergeCell ref="A101:B101"/>
    <mergeCell ref="A1:G1"/>
    <mergeCell ref="B40:C40"/>
    <mergeCell ref="E101:F101"/>
    <mergeCell ref="A97:B97"/>
    <mergeCell ref="A100:B100"/>
    <mergeCell ref="E100:F100"/>
    <mergeCell ref="A3:G3"/>
    <mergeCell ref="A2:G2"/>
    <mergeCell ref="E97:F97"/>
    <mergeCell ref="B75:C75"/>
  </mergeCells>
  <pageMargins left="0.5" right="0.5" top="0.75" bottom="0.75" header="0.3" footer="0.3"/>
  <pageSetup orientation="landscape" paperSize="9" fitToHeight="0" fitToWidth="1"/>
  <headerFooter>
    <oddHeader>&amp;C&amp;"Calibri"&amp;9 Treun Roc Contracts  |  TR Connect  |  CONFIDENTIAL — INTERNAL MI</oddHeader>
    <oddFooter>&amp;LTreun Roc Contracts — Management P&amp;L&amp;CCONFIDENTIAL&amp;RPage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36"/>
  <sheetViews>
    <sheetView showGridLines="0" workbookViewId="0">
      <pane ySplit="5" topLeftCell="A6" activePane="bottomLeft" state="frozen"/>
      <selection pane="bottomLeft" activeCell="A1" sqref="A1"/>
    </sheetView>
  </sheetViews>
  <sheetFormatPr baseColWidth="8" defaultRowHeight="15"/>
  <cols>
    <col width="14" customWidth="1" min="1" max="1"/>
    <col width="40" customWidth="1" min="2" max="2"/>
    <col width="14" customWidth="1" min="3" max="3"/>
    <col width="14" customWidth="1" min="4" max="4"/>
    <col width="14" customWidth="1" min="5" max="5"/>
    <col width="12" customWidth="1" min="6" max="6"/>
    <col width="12" customWidth="1" min="7" max="7"/>
    <col width="32" customWidth="1" min="8" max="8"/>
  </cols>
  <sheetData>
    <row r="1">
      <c r="A1" s="20" t="inlineStr">
        <is>
          <t>JOB MARGIN DETAIL  ·  Connect job P&amp;L concept</t>
        </is>
      </c>
    </row>
    <row r="2">
      <c r="A2" s="4" t="inlineStr">
        <is>
          <t>Period: September 2026  ·  YTD Apr 2026 – Sep 2026  ·  Links conceptually to TR Connect job P&amp;L  ·  CONFIDENTIAL</t>
        </is>
      </c>
    </row>
    <row r="3">
      <c r="A3" s="54" t="inlineStr">
        <is>
          <t>Margin £ = Revenue − Cost  ·  Margin % = Margin £ ÷ Revenue</t>
        </is>
      </c>
    </row>
    <row r="4">
      <c r="A4" s="5" t="n"/>
      <c r="B4" s="5" t="n"/>
      <c r="C4" s="5" t="n"/>
      <c r="D4" s="5" t="n"/>
      <c r="E4" s="5" t="n"/>
      <c r="F4" s="5" t="n"/>
      <c r="G4" s="5" t="n"/>
      <c r="H4" s="5" t="n"/>
    </row>
    <row r="5">
      <c r="A5" s="22" t="inlineStr">
        <is>
          <t>Job</t>
        </is>
      </c>
      <c r="B5" s="22" t="inlineStr">
        <is>
          <t>Client</t>
        </is>
      </c>
      <c r="C5" s="22" t="inlineStr">
        <is>
          <t>Revenue £</t>
        </is>
      </c>
      <c r="D5" s="22" t="inlineStr">
        <is>
          <t>Cost £</t>
        </is>
      </c>
      <c r="E5" s="22" t="inlineStr">
        <is>
          <t>Margin £</t>
        </is>
      </c>
      <c r="F5" s="22" t="inlineStr">
        <is>
          <t>Margin %</t>
        </is>
      </c>
      <c r="G5" s="22" t="inlineStr">
        <is>
          <t>Flag</t>
        </is>
      </c>
      <c r="H5" s="22" t="inlineStr">
        <is>
          <t>Notes / Connect link</t>
        </is>
      </c>
    </row>
    <row r="6">
      <c r="A6" s="26" t="inlineStr">
        <is>
          <t>JOB-2026-014</t>
        </is>
      </c>
      <c r="B6" s="26" t="inlineStr">
        <is>
          <t>SAMPLE — Balfour Beatty Civil Engineering</t>
        </is>
      </c>
      <c r="C6" s="27" t="n">
        <v>185000</v>
      </c>
      <c r="D6" s="27" t="n">
        <v>152000</v>
      </c>
      <c r="E6" s="55">
        <f>C6-D6</f>
        <v/>
      </c>
      <c r="F6" s="56">
        <f>IF(C6=0,"",E6/C6)</f>
        <v/>
      </c>
      <c r="G6" s="28" t="inlineStr">
        <is>
          <t>SAMPLE</t>
        </is>
      </c>
      <c r="H6" s="29" t="inlineStr">
        <is>
          <t>SAMPLE — Connect job P&amp;L: JOB-2026-014</t>
        </is>
      </c>
    </row>
    <row r="7">
      <c r="A7" s="26" t="inlineStr">
        <is>
          <t>JOB-2026-021</t>
        </is>
      </c>
      <c r="B7" s="26" t="inlineStr">
        <is>
          <t>SAMPLE — Vinci Construction UK</t>
        </is>
      </c>
      <c r="C7" s="27" t="n">
        <v>92000</v>
      </c>
      <c r="D7" s="27" t="n">
        <v>74500</v>
      </c>
      <c r="E7" s="55">
        <f>C7-D7</f>
        <v/>
      </c>
      <c r="F7" s="56">
        <f>IF(C7=0,"",E7/C7)</f>
        <v/>
      </c>
      <c r="G7" s="28" t="inlineStr">
        <is>
          <t>SAMPLE</t>
        </is>
      </c>
      <c r="H7" s="29" t="inlineStr">
        <is>
          <t>SAMPLE — Connect job P&amp;L: JOB-2026-021</t>
        </is>
      </c>
    </row>
    <row r="8">
      <c r="A8" s="26" t="inlineStr">
        <is>
          <t>JOB-2026-028</t>
        </is>
      </c>
      <c r="B8" s="26" t="inlineStr">
        <is>
          <t>SAMPLE — Laing O'Rourke</t>
        </is>
      </c>
      <c r="C8" s="27" t="n">
        <v>240000</v>
      </c>
      <c r="D8" s="27" t="n">
        <v>205000</v>
      </c>
      <c r="E8" s="55">
        <f>C8-D8</f>
        <v/>
      </c>
      <c r="F8" s="56">
        <f>IF(C8=0,"",E8/C8)</f>
        <v/>
      </c>
      <c r="G8" s="28" t="inlineStr">
        <is>
          <t>SAMPLE</t>
        </is>
      </c>
      <c r="H8" s="29" t="inlineStr">
        <is>
          <t>SAMPLE — Connect job P&amp;L: JOB-2026-028</t>
        </is>
      </c>
    </row>
    <row r="9">
      <c r="A9" s="26" t="inlineStr">
        <is>
          <t>JOB-2026-033</t>
        </is>
      </c>
      <c r="B9" s="26" t="inlineStr">
        <is>
          <t>SAMPLE — Tier-1 framework call-off</t>
        </is>
      </c>
      <c r="C9" s="27" t="n">
        <v>48500</v>
      </c>
      <c r="D9" s="27" t="n">
        <v>38200</v>
      </c>
      <c r="E9" s="55">
        <f>C9-D9</f>
        <v/>
      </c>
      <c r="F9" s="56">
        <f>IF(C9=0,"",E9/C9)</f>
        <v/>
      </c>
      <c r="G9" s="28" t="inlineStr">
        <is>
          <t>SAMPLE</t>
        </is>
      </c>
      <c r="H9" s="29" t="inlineStr">
        <is>
          <t>SAMPLE — Connect job P&amp;L: JOB-2026-033</t>
        </is>
      </c>
    </row>
    <row r="10">
      <c r="A10" s="30" t="n"/>
      <c r="B10" s="30" t="n"/>
      <c r="C10" s="31" t="n"/>
      <c r="D10" s="31" t="n"/>
      <c r="E10" s="57">
        <f>IF(AND(C10="",D10=""),"",C10-D10)</f>
        <v/>
      </c>
      <c r="F10" s="58">
        <f>IF(OR(C10="",C10=0),"",E10/C10)</f>
        <v/>
      </c>
      <c r="G10" s="30" t="n"/>
      <c r="H10" s="30" t="n"/>
    </row>
    <row r="11">
      <c r="A11" s="32" t="n"/>
      <c r="B11" s="32" t="n"/>
      <c r="C11" s="33" t="n"/>
      <c r="D11" s="33" t="n"/>
      <c r="E11" s="59">
        <f>IF(AND(C11="",D11=""),"",C11-D11)</f>
        <v/>
      </c>
      <c r="F11" s="60">
        <f>IF(OR(C11="",C11=0),"",E11/C11)</f>
        <v/>
      </c>
      <c r="G11" s="32" t="n"/>
      <c r="H11" s="32" t="n"/>
    </row>
    <row r="12">
      <c r="A12" s="30" t="n"/>
      <c r="B12" s="30" t="n"/>
      <c r="C12" s="31" t="n"/>
      <c r="D12" s="31" t="n"/>
      <c r="E12" s="57">
        <f>IF(AND(C12="",D12=""),"",C12-D12)</f>
        <v/>
      </c>
      <c r="F12" s="58">
        <f>IF(OR(C12="",C12=0),"",E12/C12)</f>
        <v/>
      </c>
      <c r="G12" s="30" t="n"/>
      <c r="H12" s="30" t="n"/>
    </row>
    <row r="13">
      <c r="A13" s="32" t="n"/>
      <c r="B13" s="32" t="n"/>
      <c r="C13" s="33" t="n"/>
      <c r="D13" s="33" t="n"/>
      <c r="E13" s="59">
        <f>IF(AND(C13="",D13=""),"",C13-D13)</f>
        <v/>
      </c>
      <c r="F13" s="60">
        <f>IF(OR(C13="",C13=0),"",E13/C13)</f>
        <v/>
      </c>
      <c r="G13" s="32" t="n"/>
      <c r="H13" s="32" t="n"/>
    </row>
    <row r="14">
      <c r="A14" s="30" t="n"/>
      <c r="B14" s="30" t="n"/>
      <c r="C14" s="31" t="n"/>
      <c r="D14" s="31" t="n"/>
      <c r="E14" s="57">
        <f>IF(AND(C14="",D14=""),"",C14-D14)</f>
        <v/>
      </c>
      <c r="F14" s="58">
        <f>IF(OR(C14="",C14=0),"",E14/C14)</f>
        <v/>
      </c>
      <c r="G14" s="30" t="n"/>
      <c r="H14" s="30" t="n"/>
    </row>
    <row r="15">
      <c r="A15" s="32" t="n"/>
      <c r="B15" s="32" t="n"/>
      <c r="C15" s="33" t="n"/>
      <c r="D15" s="33" t="n"/>
      <c r="E15" s="59">
        <f>IF(AND(C15="",D15=""),"",C15-D15)</f>
        <v/>
      </c>
      <c r="F15" s="60">
        <f>IF(OR(C15="",C15=0),"",E15/C15)</f>
        <v/>
      </c>
      <c r="G15" s="32" t="n"/>
      <c r="H15" s="32" t="n"/>
    </row>
    <row r="16">
      <c r="A16" s="30" t="n"/>
      <c r="B16" s="30" t="n"/>
      <c r="C16" s="31" t="n"/>
      <c r="D16" s="31" t="n"/>
      <c r="E16" s="57">
        <f>IF(AND(C16="",D16=""),"",C16-D16)</f>
        <v/>
      </c>
      <c r="F16" s="58">
        <f>IF(OR(C16="",C16=0),"",E16/C16)</f>
        <v/>
      </c>
      <c r="G16" s="30" t="n"/>
      <c r="H16" s="30" t="n"/>
    </row>
    <row r="17">
      <c r="A17" s="32" t="n"/>
      <c r="B17" s="32" t="n"/>
      <c r="C17" s="33" t="n"/>
      <c r="D17" s="33" t="n"/>
      <c r="E17" s="59">
        <f>IF(AND(C17="",D17=""),"",C17-D17)</f>
        <v/>
      </c>
      <c r="F17" s="60">
        <f>IF(OR(C17="",C17=0),"",E17/C17)</f>
        <v/>
      </c>
      <c r="G17" s="32" t="n"/>
      <c r="H17" s="32" t="n"/>
    </row>
    <row r="18">
      <c r="A18" s="30" t="n"/>
      <c r="B18" s="30" t="n"/>
      <c r="C18" s="31" t="n"/>
      <c r="D18" s="31" t="n"/>
      <c r="E18" s="57">
        <f>IF(AND(C18="",D18=""),"",C18-D18)</f>
        <v/>
      </c>
      <c r="F18" s="58">
        <f>IF(OR(C18="",C18=0),"",E18/C18)</f>
        <v/>
      </c>
      <c r="G18" s="30" t="n"/>
      <c r="H18" s="30" t="n"/>
    </row>
    <row r="19">
      <c r="A19" s="32" t="n"/>
      <c r="B19" s="32" t="n"/>
      <c r="C19" s="33" t="n"/>
      <c r="D19" s="33" t="n"/>
      <c r="E19" s="59">
        <f>IF(AND(C19="",D19=""),"",C19-D19)</f>
        <v/>
      </c>
      <c r="F19" s="60">
        <f>IF(OR(C19="",C19=0),"",E19/C19)</f>
        <v/>
      </c>
      <c r="G19" s="32" t="n"/>
      <c r="H19" s="32" t="n"/>
    </row>
    <row r="20">
      <c r="A20" s="30" t="n"/>
      <c r="B20" s="30" t="n"/>
      <c r="C20" s="31" t="n"/>
      <c r="D20" s="31" t="n"/>
      <c r="E20" s="57">
        <f>IF(AND(C20="",D20=""),"",C20-D20)</f>
        <v/>
      </c>
      <c r="F20" s="58">
        <f>IF(OR(C20="",C20=0),"",E20/C20)</f>
        <v/>
      </c>
      <c r="G20" s="30" t="n"/>
      <c r="H20" s="30" t="n"/>
    </row>
    <row r="21">
      <c r="A21" s="32" t="n"/>
      <c r="B21" s="32" t="n"/>
      <c r="C21" s="33" t="n"/>
      <c r="D21" s="33" t="n"/>
      <c r="E21" s="59">
        <f>IF(AND(C21="",D21=""),"",C21-D21)</f>
        <v/>
      </c>
      <c r="F21" s="60">
        <f>IF(OR(C21="",C21=0),"",E21/C21)</f>
        <v/>
      </c>
      <c r="G21" s="32" t="n"/>
      <c r="H21" s="32" t="n"/>
    </row>
    <row r="22">
      <c r="A22" s="30" t="n"/>
      <c r="B22" s="30" t="n"/>
      <c r="C22" s="31" t="n"/>
      <c r="D22" s="31" t="n"/>
      <c r="E22" s="57">
        <f>IF(AND(C22="",D22=""),"",C22-D22)</f>
        <v/>
      </c>
      <c r="F22" s="58">
        <f>IF(OR(C22="",C22=0),"",E22/C22)</f>
        <v/>
      </c>
      <c r="G22" s="30" t="n"/>
      <c r="H22" s="30" t="n"/>
    </row>
    <row r="23">
      <c r="A23" s="32" t="n"/>
      <c r="B23" s="32" t="n"/>
      <c r="C23" s="33" t="n"/>
      <c r="D23" s="33" t="n"/>
      <c r="E23" s="59">
        <f>IF(AND(C23="",D23=""),"",C23-D23)</f>
        <v/>
      </c>
      <c r="F23" s="60">
        <f>IF(OR(C23="",C23=0),"",E23/C23)</f>
        <v/>
      </c>
      <c r="G23" s="32" t="n"/>
      <c r="H23" s="32" t="n"/>
    </row>
    <row r="24">
      <c r="A24" s="30" t="n"/>
      <c r="B24" s="30" t="n"/>
      <c r="C24" s="31" t="n"/>
      <c r="D24" s="31" t="n"/>
      <c r="E24" s="57">
        <f>IF(AND(C24="",D24=""),"",C24-D24)</f>
        <v/>
      </c>
      <c r="F24" s="58">
        <f>IF(OR(C24="",C24=0),"",E24/C24)</f>
        <v/>
      </c>
      <c r="G24" s="30" t="n"/>
      <c r="H24" s="30" t="n"/>
    </row>
    <row r="25">
      <c r="A25" s="32" t="n"/>
      <c r="B25" s="32" t="n"/>
      <c r="C25" s="33" t="n"/>
      <c r="D25" s="33" t="n"/>
      <c r="E25" s="59">
        <f>IF(AND(C25="",D25=""),"",C25-D25)</f>
        <v/>
      </c>
      <c r="F25" s="60">
        <f>IF(OR(C25="",C25=0),"",E25/C25)</f>
        <v/>
      </c>
      <c r="G25" s="32" t="n"/>
      <c r="H25" s="32" t="n"/>
    </row>
    <row r="26">
      <c r="A26" s="30" t="n"/>
      <c r="B26" s="30" t="n"/>
      <c r="C26" s="31" t="n"/>
      <c r="D26" s="31" t="n"/>
      <c r="E26" s="57">
        <f>IF(AND(C26="",D26=""),"",C26-D26)</f>
        <v/>
      </c>
      <c r="F26" s="58">
        <f>IF(OR(C26="",C26=0),"",E26/C26)</f>
        <v/>
      </c>
      <c r="G26" s="30" t="n"/>
      <c r="H26" s="30" t="n"/>
    </row>
    <row r="27">
      <c r="A27" s="32" t="n"/>
      <c r="B27" s="32" t="n"/>
      <c r="C27" s="33" t="n"/>
      <c r="D27" s="33" t="n"/>
      <c r="E27" s="59">
        <f>IF(AND(C27="",D27=""),"",C27-D27)</f>
        <v/>
      </c>
      <c r="F27" s="60">
        <f>IF(OR(C27="",C27=0),"",E27/C27)</f>
        <v/>
      </c>
      <c r="G27" s="32" t="n"/>
      <c r="H27" s="32" t="n"/>
    </row>
    <row r="28">
      <c r="A28" s="30" t="n"/>
      <c r="B28" s="30" t="n"/>
      <c r="C28" s="31" t="n"/>
      <c r="D28" s="31" t="n"/>
      <c r="E28" s="57">
        <f>IF(AND(C28="",D28=""),"",C28-D28)</f>
        <v/>
      </c>
      <c r="F28" s="58">
        <f>IF(OR(C28="",C28=0),"",E28/C28)</f>
        <v/>
      </c>
      <c r="G28" s="30" t="n"/>
      <c r="H28" s="30" t="n"/>
    </row>
    <row r="29">
      <c r="A29" s="32" t="n"/>
      <c r="B29" s="32" t="n"/>
      <c r="C29" s="33" t="n"/>
      <c r="D29" s="33" t="n"/>
      <c r="E29" s="59">
        <f>IF(AND(C29="",D29=""),"",C29-D29)</f>
        <v/>
      </c>
      <c r="F29" s="60">
        <f>IF(OR(C29="",C29=0),"",E29/C29)</f>
        <v/>
      </c>
      <c r="G29" s="32" t="n"/>
      <c r="H29" s="32" t="n"/>
    </row>
    <row r="30">
      <c r="A30" s="30" t="n"/>
      <c r="B30" s="30" t="n"/>
      <c r="C30" s="31" t="n"/>
      <c r="D30" s="31" t="n"/>
      <c r="E30" s="57">
        <f>IF(AND(C30="",D30=""),"",C30-D30)</f>
        <v/>
      </c>
      <c r="F30" s="58">
        <f>IF(OR(C30="",C30=0),"",E30/C30)</f>
        <v/>
      </c>
      <c r="G30" s="30" t="n"/>
      <c r="H30" s="30" t="n"/>
    </row>
    <row r="31">
      <c r="A31" s="32" t="n"/>
      <c r="B31" s="32" t="n"/>
      <c r="C31" s="33" t="n"/>
      <c r="D31" s="33" t="n"/>
      <c r="E31" s="59">
        <f>IF(AND(C31="",D31=""),"",C31-D31)</f>
        <v/>
      </c>
      <c r="F31" s="60">
        <f>IF(OR(C31="",C31=0),"",E31/C31)</f>
        <v/>
      </c>
      <c r="G31" s="32" t="n"/>
      <c r="H31" s="32" t="n"/>
    </row>
    <row r="32">
      <c r="A32" s="30" t="n"/>
      <c r="B32" s="30" t="n"/>
      <c r="C32" s="31" t="n"/>
      <c r="D32" s="31" t="n"/>
      <c r="E32" s="57">
        <f>IF(AND(C32="",D32=""),"",C32-D32)</f>
        <v/>
      </c>
      <c r="F32" s="58">
        <f>IF(OR(C32="",C32=0),"",E32/C32)</f>
        <v/>
      </c>
      <c r="G32" s="30" t="n"/>
      <c r="H32" s="30" t="n"/>
    </row>
    <row r="33">
      <c r="A33" s="32" t="n"/>
      <c r="B33" s="32" t="n"/>
      <c r="C33" s="33" t="n"/>
      <c r="D33" s="33" t="n"/>
      <c r="E33" s="59">
        <f>IF(AND(C33="",D33=""),"",C33-D33)</f>
        <v/>
      </c>
      <c r="F33" s="60">
        <f>IF(OR(C33="",C33=0),"",E33/C33)</f>
        <v/>
      </c>
      <c r="G33" s="32" t="n"/>
      <c r="H33" s="32" t="n"/>
    </row>
    <row r="34">
      <c r="A34" s="30" t="n"/>
      <c r="B34" s="30" t="n"/>
      <c r="C34" s="31" t="n"/>
      <c r="D34" s="31" t="n"/>
      <c r="E34" s="57">
        <f>IF(AND(C34="",D34=""),"",C34-D34)</f>
        <v/>
      </c>
      <c r="F34" s="58">
        <f>IF(OR(C34="",C34=0),"",E34/C34)</f>
        <v/>
      </c>
      <c r="G34" s="30" t="n"/>
      <c r="H34" s="30" t="n"/>
    </row>
    <row r="35">
      <c r="A35" s="32" t="n"/>
      <c r="B35" s="32" t="n"/>
      <c r="C35" s="33" t="n"/>
      <c r="D35" s="33" t="n"/>
      <c r="E35" s="59">
        <f>IF(AND(C35="",D35=""),"",C35-D35)</f>
        <v/>
      </c>
      <c r="F35" s="60">
        <f>IF(OR(C35="",C35=0),"",E35/C35)</f>
        <v/>
      </c>
      <c r="G35" s="32" t="n"/>
      <c r="H35" s="32" t="n"/>
    </row>
    <row r="36">
      <c r="A36" s="61" t="inlineStr">
        <is>
          <t>TOTALS</t>
        </is>
      </c>
      <c r="B36" s="61" t="n"/>
      <c r="C36" s="62">
        <f>SUM(C6:C35)</f>
        <v/>
      </c>
      <c r="D36" s="62">
        <f>SUM(D6:D35)</f>
        <v/>
      </c>
      <c r="E36" s="62">
        <f>C36-D36</f>
        <v/>
      </c>
      <c r="F36" s="63">
        <f>IF(C36=0,"",E36/C36)</f>
        <v/>
      </c>
      <c r="G36" s="61" t="n"/>
      <c r="H36" s="61" t="n"/>
    </row>
  </sheetData>
  <autoFilter ref="A5:H35"/>
  <mergeCells count="3">
    <mergeCell ref="A3:H3"/>
    <mergeCell ref="A2:H2"/>
    <mergeCell ref="A1:H1"/>
  </mergeCells>
  <pageMargins left="0.5" right="0.5" top="0.75" bottom="0.75" header="0.3" footer="0.3"/>
  <pageSetup orientation="landscape" paperSize="9" fitToHeight="0" fitToWidth="1"/>
  <headerFooter>
    <oddHeader>&amp;C&amp;"Calibri"&amp;9 Treun Roc Contracts  |  TR Connect  |  CONFIDENTIAL — INTERNAL MI</oddHeader>
    <oddFooter>&amp;LTreun Roc Contracts — Job Margin Detail&amp;CCONFIDENTIAL&amp;RPage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48"/>
  <sheetViews>
    <sheetView showGridLines="0" workbookViewId="0">
      <pane ySplit="5" topLeftCell="A6" activePane="bottomLeft" state="frozen"/>
      <selection pane="bottomLeft" activeCell="A1" sqref="A1"/>
    </sheetView>
  </sheetViews>
  <sheetFormatPr baseColWidth="8" defaultRowHeight="15"/>
  <cols>
    <col width="12" customWidth="1" min="1" max="1"/>
    <col width="14" customWidth="1" min="2" max="2"/>
    <col width="40" customWidth="1" min="3" max="3"/>
    <col width="14" customWidth="1" min="4" max="4"/>
    <col width="12" customWidth="1" min="5" max="5"/>
    <col width="14" customWidth="1" min="6" max="6"/>
    <col width="12" customWidth="1" min="7" max="7"/>
    <col width="28" customWidth="1" min="8" max="8"/>
  </cols>
  <sheetData>
    <row r="1">
      <c r="A1" s="20" t="inlineStr">
        <is>
          <t>INVOICE REGISTER  ·  Xero / Sage handoff template</t>
        </is>
      </c>
    </row>
    <row r="2">
      <c r="A2" s="4" t="inlineStr">
        <is>
          <t>Columns aligned for export to Xero or Sage · Net + VAT + Gross · Status for credit control</t>
        </is>
      </c>
    </row>
    <row r="3">
      <c r="A3" s="21" t="inlineStr">
        <is>
          <t>Period: September 2026  ·  YTD Apr 2026 – Sep 2026  ·  CONFIDENTIAL — INTERNAL MI</t>
        </is>
      </c>
    </row>
    <row r="4">
      <c r="A4" s="5" t="n"/>
      <c r="B4" s="5" t="n"/>
      <c r="C4" s="5" t="n"/>
      <c r="D4" s="5" t="n"/>
      <c r="E4" s="5" t="n"/>
      <c r="F4" s="5" t="n"/>
      <c r="G4" s="5" t="n"/>
      <c r="H4" s="5" t="n"/>
    </row>
    <row r="5">
      <c r="A5" s="22" t="inlineStr">
        <is>
          <t>Date</t>
        </is>
      </c>
      <c r="B5" s="22" t="inlineStr">
        <is>
          <t>Number</t>
        </is>
      </c>
      <c r="C5" s="22" t="inlineStr">
        <is>
          <t>Client</t>
        </is>
      </c>
      <c r="D5" s="22" t="inlineStr">
        <is>
          <t>Net £</t>
        </is>
      </c>
      <c r="E5" s="22" t="inlineStr">
        <is>
          <t>VAT £</t>
        </is>
      </c>
      <c r="F5" s="22" t="inlineStr">
        <is>
          <t>Gross £</t>
        </is>
      </c>
      <c r="G5" s="22" t="inlineStr">
        <is>
          <t>Status</t>
        </is>
      </c>
      <c r="H5" s="22" t="inlineStr">
        <is>
          <t>Notes / ledger ref</t>
        </is>
      </c>
    </row>
    <row r="6">
      <c r="A6" s="64" t="n">
        <v>46268</v>
      </c>
      <c r="B6" s="26" t="inlineStr">
        <is>
          <t>TR-INV-1042</t>
        </is>
      </c>
      <c r="C6" s="26" t="inlineStr">
        <is>
          <t>SAMPLE — Balfour Beatty Civil Engineering</t>
        </is>
      </c>
      <c r="D6" s="65" t="n">
        <v>45000</v>
      </c>
      <c r="E6" s="65" t="n">
        <v>9000</v>
      </c>
      <c r="F6" s="66">
        <f>D6+E6</f>
        <v/>
      </c>
      <c r="G6" s="26" t="inlineStr">
        <is>
          <t>Paid</t>
        </is>
      </c>
      <c r="H6" s="29" t="inlineStr">
        <is>
          <t>SAMPLE — handoff to Xero/Sage</t>
        </is>
      </c>
    </row>
    <row r="7">
      <c r="A7" s="64" t="n">
        <v>46273</v>
      </c>
      <c r="B7" s="26" t="inlineStr">
        <is>
          <t>TR-INV-1043</t>
        </is>
      </c>
      <c r="C7" s="26" t="inlineStr">
        <is>
          <t>SAMPLE — Vinci Construction UK</t>
        </is>
      </c>
      <c r="D7" s="65" t="n">
        <v>28500</v>
      </c>
      <c r="E7" s="65" t="n">
        <v>5700</v>
      </c>
      <c r="F7" s="66">
        <f>D7+E7</f>
        <v/>
      </c>
      <c r="G7" s="26" t="inlineStr">
        <is>
          <t>Sent</t>
        </is>
      </c>
      <c r="H7" s="29" t="inlineStr">
        <is>
          <t>SAMPLE — handoff to Xero/Sage</t>
        </is>
      </c>
    </row>
    <row r="8">
      <c r="A8" s="64" t="n">
        <v>46277</v>
      </c>
      <c r="B8" s="26" t="inlineStr">
        <is>
          <t>TR-INV-1044</t>
        </is>
      </c>
      <c r="C8" s="26" t="inlineStr">
        <is>
          <t>SAMPLE — Laing O'Rourke</t>
        </is>
      </c>
      <c r="D8" s="65" t="n">
        <v>62000</v>
      </c>
      <c r="E8" s="65" t="n">
        <v>12400</v>
      </c>
      <c r="F8" s="66">
        <f>D8+E8</f>
        <v/>
      </c>
      <c r="G8" s="26" t="inlineStr">
        <is>
          <t>Draft</t>
        </is>
      </c>
      <c r="H8" s="29" t="inlineStr">
        <is>
          <t>SAMPLE — handoff to Xero/Sage</t>
        </is>
      </c>
    </row>
    <row r="9">
      <c r="A9" s="64" t="n">
        <v>46280</v>
      </c>
      <c r="B9" s="26" t="inlineStr">
        <is>
          <t>TR-INV-1045</t>
        </is>
      </c>
      <c r="C9" s="26" t="inlineStr">
        <is>
          <t>SAMPLE — Tier-1 framework call-off</t>
        </is>
      </c>
      <c r="D9" s="65" t="n">
        <v>18200</v>
      </c>
      <c r="E9" s="65" t="n">
        <v>3640</v>
      </c>
      <c r="F9" s="66">
        <f>D9+E9</f>
        <v/>
      </c>
      <c r="G9" s="26" t="inlineStr">
        <is>
          <t>Sent</t>
        </is>
      </c>
      <c r="H9" s="29" t="inlineStr">
        <is>
          <t>SAMPLE — handoff to Xero/Sage</t>
        </is>
      </c>
    </row>
    <row r="10">
      <c r="A10" s="67" t="n"/>
      <c r="B10" s="30" t="n"/>
      <c r="C10" s="30" t="n"/>
      <c r="D10" s="68" t="n"/>
      <c r="E10" s="68" t="n"/>
      <c r="F10" s="69">
        <f>IF(AND(D10="",E10=""),"",D10+E10)</f>
        <v/>
      </c>
      <c r="G10" s="30" t="n"/>
      <c r="H10" s="30" t="n"/>
    </row>
    <row r="11">
      <c r="A11" s="70" t="n"/>
      <c r="B11" s="32" t="n"/>
      <c r="C11" s="32" t="n"/>
      <c r="D11" s="71" t="n"/>
      <c r="E11" s="71" t="n"/>
      <c r="F11" s="72">
        <f>IF(AND(D11="",E11=""),"",D11+E11)</f>
        <v/>
      </c>
      <c r="G11" s="32" t="n"/>
      <c r="H11" s="32" t="n"/>
    </row>
    <row r="12">
      <c r="A12" s="67" t="n"/>
      <c r="B12" s="30" t="n"/>
      <c r="C12" s="30" t="n"/>
      <c r="D12" s="68" t="n"/>
      <c r="E12" s="68" t="n"/>
      <c r="F12" s="69">
        <f>IF(AND(D12="",E12=""),"",D12+E12)</f>
        <v/>
      </c>
      <c r="G12" s="30" t="n"/>
      <c r="H12" s="30" t="n"/>
    </row>
    <row r="13">
      <c r="A13" s="70" t="n"/>
      <c r="B13" s="32" t="n"/>
      <c r="C13" s="32" t="n"/>
      <c r="D13" s="71" t="n"/>
      <c r="E13" s="71" t="n"/>
      <c r="F13" s="72">
        <f>IF(AND(D13="",E13=""),"",D13+E13)</f>
        <v/>
      </c>
      <c r="G13" s="32" t="n"/>
      <c r="H13" s="32" t="n"/>
    </row>
    <row r="14">
      <c r="A14" s="67" t="n"/>
      <c r="B14" s="30" t="n"/>
      <c r="C14" s="30" t="n"/>
      <c r="D14" s="68" t="n"/>
      <c r="E14" s="68" t="n"/>
      <c r="F14" s="69">
        <f>IF(AND(D14="",E14=""),"",D14+E14)</f>
        <v/>
      </c>
      <c r="G14" s="30" t="n"/>
      <c r="H14" s="30" t="n"/>
    </row>
    <row r="15">
      <c r="A15" s="70" t="n"/>
      <c r="B15" s="32" t="n"/>
      <c r="C15" s="32" t="n"/>
      <c r="D15" s="71" t="n"/>
      <c r="E15" s="71" t="n"/>
      <c r="F15" s="72">
        <f>IF(AND(D15="",E15=""),"",D15+E15)</f>
        <v/>
      </c>
      <c r="G15" s="32" t="n"/>
      <c r="H15" s="32" t="n"/>
    </row>
    <row r="16">
      <c r="A16" s="67" t="n"/>
      <c r="B16" s="30" t="n"/>
      <c r="C16" s="30" t="n"/>
      <c r="D16" s="68" t="n"/>
      <c r="E16" s="68" t="n"/>
      <c r="F16" s="69">
        <f>IF(AND(D16="",E16=""),"",D16+E16)</f>
        <v/>
      </c>
      <c r="G16" s="30" t="n"/>
      <c r="H16" s="30" t="n"/>
    </row>
    <row r="17">
      <c r="A17" s="70" t="n"/>
      <c r="B17" s="32" t="n"/>
      <c r="C17" s="32" t="n"/>
      <c r="D17" s="71" t="n"/>
      <c r="E17" s="71" t="n"/>
      <c r="F17" s="72">
        <f>IF(AND(D17="",E17=""),"",D17+E17)</f>
        <v/>
      </c>
      <c r="G17" s="32" t="n"/>
      <c r="H17" s="32" t="n"/>
    </row>
    <row r="18">
      <c r="A18" s="67" t="n"/>
      <c r="B18" s="30" t="n"/>
      <c r="C18" s="30" t="n"/>
      <c r="D18" s="68" t="n"/>
      <c r="E18" s="68" t="n"/>
      <c r="F18" s="69">
        <f>IF(AND(D18="",E18=""),"",D18+E18)</f>
        <v/>
      </c>
      <c r="G18" s="30" t="n"/>
      <c r="H18" s="30" t="n"/>
    </row>
    <row r="19">
      <c r="A19" s="70" t="n"/>
      <c r="B19" s="32" t="n"/>
      <c r="C19" s="32" t="n"/>
      <c r="D19" s="71" t="n"/>
      <c r="E19" s="71" t="n"/>
      <c r="F19" s="72">
        <f>IF(AND(D19="",E19=""),"",D19+E19)</f>
        <v/>
      </c>
      <c r="G19" s="32" t="n"/>
      <c r="H19" s="32" t="n"/>
    </row>
    <row r="20">
      <c r="A20" s="67" t="n"/>
      <c r="B20" s="30" t="n"/>
      <c r="C20" s="30" t="n"/>
      <c r="D20" s="68" t="n"/>
      <c r="E20" s="68" t="n"/>
      <c r="F20" s="69">
        <f>IF(AND(D20="",E20=""),"",D20+E20)</f>
        <v/>
      </c>
      <c r="G20" s="30" t="n"/>
      <c r="H20" s="30" t="n"/>
    </row>
    <row r="21">
      <c r="A21" s="70" t="n"/>
      <c r="B21" s="32" t="n"/>
      <c r="C21" s="32" t="n"/>
      <c r="D21" s="71" t="n"/>
      <c r="E21" s="71" t="n"/>
      <c r="F21" s="72">
        <f>IF(AND(D21="",E21=""),"",D21+E21)</f>
        <v/>
      </c>
      <c r="G21" s="32" t="n"/>
      <c r="H21" s="32" t="n"/>
    </row>
    <row r="22">
      <c r="A22" s="67" t="n"/>
      <c r="B22" s="30" t="n"/>
      <c r="C22" s="30" t="n"/>
      <c r="D22" s="68" t="n"/>
      <c r="E22" s="68" t="n"/>
      <c r="F22" s="69">
        <f>IF(AND(D22="",E22=""),"",D22+E22)</f>
        <v/>
      </c>
      <c r="G22" s="30" t="n"/>
      <c r="H22" s="30" t="n"/>
    </row>
    <row r="23">
      <c r="A23" s="70" t="n"/>
      <c r="B23" s="32" t="n"/>
      <c r="C23" s="32" t="n"/>
      <c r="D23" s="71" t="n"/>
      <c r="E23" s="71" t="n"/>
      <c r="F23" s="72">
        <f>IF(AND(D23="",E23=""),"",D23+E23)</f>
        <v/>
      </c>
      <c r="G23" s="32" t="n"/>
      <c r="H23" s="32" t="n"/>
    </row>
    <row r="24">
      <c r="A24" s="67" t="n"/>
      <c r="B24" s="30" t="n"/>
      <c r="C24" s="30" t="n"/>
      <c r="D24" s="68" t="n"/>
      <c r="E24" s="68" t="n"/>
      <c r="F24" s="69">
        <f>IF(AND(D24="",E24=""),"",D24+E24)</f>
        <v/>
      </c>
      <c r="G24" s="30" t="n"/>
      <c r="H24" s="30" t="n"/>
    </row>
    <row r="25">
      <c r="A25" s="70" t="n"/>
      <c r="B25" s="32" t="n"/>
      <c r="C25" s="32" t="n"/>
      <c r="D25" s="71" t="n"/>
      <c r="E25" s="71" t="n"/>
      <c r="F25" s="72">
        <f>IF(AND(D25="",E25=""),"",D25+E25)</f>
        <v/>
      </c>
      <c r="G25" s="32" t="n"/>
      <c r="H25" s="32" t="n"/>
    </row>
    <row r="26">
      <c r="A26" s="67" t="n"/>
      <c r="B26" s="30" t="n"/>
      <c r="C26" s="30" t="n"/>
      <c r="D26" s="68" t="n"/>
      <c r="E26" s="68" t="n"/>
      <c r="F26" s="69">
        <f>IF(AND(D26="",E26=""),"",D26+E26)</f>
        <v/>
      </c>
      <c r="G26" s="30" t="n"/>
      <c r="H26" s="30" t="n"/>
    </row>
    <row r="27">
      <c r="A27" s="70" t="n"/>
      <c r="B27" s="32" t="n"/>
      <c r="C27" s="32" t="n"/>
      <c r="D27" s="71" t="n"/>
      <c r="E27" s="71" t="n"/>
      <c r="F27" s="72">
        <f>IF(AND(D27="",E27=""),"",D27+E27)</f>
        <v/>
      </c>
      <c r="G27" s="32" t="n"/>
      <c r="H27" s="32" t="n"/>
    </row>
    <row r="28">
      <c r="A28" s="67" t="n"/>
      <c r="B28" s="30" t="n"/>
      <c r="C28" s="30" t="n"/>
      <c r="D28" s="68" t="n"/>
      <c r="E28" s="68" t="n"/>
      <c r="F28" s="69">
        <f>IF(AND(D28="",E28=""),"",D28+E28)</f>
        <v/>
      </c>
      <c r="G28" s="30" t="n"/>
      <c r="H28" s="30" t="n"/>
    </row>
    <row r="29">
      <c r="A29" s="70" t="n"/>
      <c r="B29" s="32" t="n"/>
      <c r="C29" s="32" t="n"/>
      <c r="D29" s="71" t="n"/>
      <c r="E29" s="71" t="n"/>
      <c r="F29" s="72">
        <f>IF(AND(D29="",E29=""),"",D29+E29)</f>
        <v/>
      </c>
      <c r="G29" s="32" t="n"/>
      <c r="H29" s="32" t="n"/>
    </row>
    <row r="30">
      <c r="A30" s="67" t="n"/>
      <c r="B30" s="30" t="n"/>
      <c r="C30" s="30" t="n"/>
      <c r="D30" s="68" t="n"/>
      <c r="E30" s="68" t="n"/>
      <c r="F30" s="69">
        <f>IF(AND(D30="",E30=""),"",D30+E30)</f>
        <v/>
      </c>
      <c r="G30" s="30" t="n"/>
      <c r="H30" s="30" t="n"/>
    </row>
    <row r="31">
      <c r="A31" s="70" t="n"/>
      <c r="B31" s="32" t="n"/>
      <c r="C31" s="32" t="n"/>
      <c r="D31" s="71" t="n"/>
      <c r="E31" s="71" t="n"/>
      <c r="F31" s="72">
        <f>IF(AND(D31="",E31=""),"",D31+E31)</f>
        <v/>
      </c>
      <c r="G31" s="32" t="n"/>
      <c r="H31" s="32" t="n"/>
    </row>
    <row r="32">
      <c r="A32" s="67" t="n"/>
      <c r="B32" s="30" t="n"/>
      <c r="C32" s="30" t="n"/>
      <c r="D32" s="68" t="n"/>
      <c r="E32" s="68" t="n"/>
      <c r="F32" s="69">
        <f>IF(AND(D32="",E32=""),"",D32+E32)</f>
        <v/>
      </c>
      <c r="G32" s="30" t="n"/>
      <c r="H32" s="30" t="n"/>
    </row>
    <row r="33">
      <c r="A33" s="70" t="n"/>
      <c r="B33" s="32" t="n"/>
      <c r="C33" s="32" t="n"/>
      <c r="D33" s="71" t="n"/>
      <c r="E33" s="71" t="n"/>
      <c r="F33" s="72">
        <f>IF(AND(D33="",E33=""),"",D33+E33)</f>
        <v/>
      </c>
      <c r="G33" s="32" t="n"/>
      <c r="H33" s="32" t="n"/>
    </row>
    <row r="34">
      <c r="A34" s="67" t="n"/>
      <c r="B34" s="30" t="n"/>
      <c r="C34" s="30" t="n"/>
      <c r="D34" s="68" t="n"/>
      <c r="E34" s="68" t="n"/>
      <c r="F34" s="69">
        <f>IF(AND(D34="",E34=""),"",D34+E34)</f>
        <v/>
      </c>
      <c r="G34" s="30" t="n"/>
      <c r="H34" s="30" t="n"/>
    </row>
    <row r="35">
      <c r="A35" s="70" t="n"/>
      <c r="B35" s="32" t="n"/>
      <c r="C35" s="32" t="n"/>
      <c r="D35" s="71" t="n"/>
      <c r="E35" s="71" t="n"/>
      <c r="F35" s="72">
        <f>IF(AND(D35="",E35=""),"",D35+E35)</f>
        <v/>
      </c>
      <c r="G35" s="32" t="n"/>
      <c r="H35" s="32" t="n"/>
    </row>
    <row r="36">
      <c r="A36" s="67" t="n"/>
      <c r="B36" s="30" t="n"/>
      <c r="C36" s="30" t="n"/>
      <c r="D36" s="68" t="n"/>
      <c r="E36" s="68" t="n"/>
      <c r="F36" s="69">
        <f>IF(AND(D36="",E36=""),"",D36+E36)</f>
        <v/>
      </c>
      <c r="G36" s="30" t="n"/>
      <c r="H36" s="30" t="n"/>
    </row>
    <row r="37">
      <c r="A37" s="70" t="n"/>
      <c r="B37" s="32" t="n"/>
      <c r="C37" s="32" t="n"/>
      <c r="D37" s="71" t="n"/>
      <c r="E37" s="71" t="n"/>
      <c r="F37" s="72">
        <f>IF(AND(D37="",E37=""),"",D37+E37)</f>
        <v/>
      </c>
      <c r="G37" s="32" t="n"/>
      <c r="H37" s="32" t="n"/>
    </row>
    <row r="38">
      <c r="A38" s="67" t="n"/>
      <c r="B38" s="30" t="n"/>
      <c r="C38" s="30" t="n"/>
      <c r="D38" s="68" t="n"/>
      <c r="E38" s="68" t="n"/>
      <c r="F38" s="69">
        <f>IF(AND(D38="",E38=""),"",D38+E38)</f>
        <v/>
      </c>
      <c r="G38" s="30" t="n"/>
      <c r="H38" s="30" t="n"/>
    </row>
    <row r="39">
      <c r="A39" s="70" t="n"/>
      <c r="B39" s="32" t="n"/>
      <c r="C39" s="32" t="n"/>
      <c r="D39" s="71" t="n"/>
      <c r="E39" s="71" t="n"/>
      <c r="F39" s="72">
        <f>IF(AND(D39="",E39=""),"",D39+E39)</f>
        <v/>
      </c>
      <c r="G39" s="32" t="n"/>
      <c r="H39" s="32" t="n"/>
    </row>
    <row r="40">
      <c r="A40" s="67" t="n"/>
      <c r="B40" s="30" t="n"/>
      <c r="C40" s="30" t="n"/>
      <c r="D40" s="68" t="n"/>
      <c r="E40" s="68" t="n"/>
      <c r="F40" s="69">
        <f>IF(AND(D40="",E40=""),"",D40+E40)</f>
        <v/>
      </c>
      <c r="G40" s="30" t="n"/>
      <c r="H40" s="30" t="n"/>
    </row>
    <row r="41">
      <c r="A41" s="70" t="n"/>
      <c r="B41" s="32" t="n"/>
      <c r="C41" s="32" t="n"/>
      <c r="D41" s="71" t="n"/>
      <c r="E41" s="71" t="n"/>
      <c r="F41" s="72">
        <f>IF(AND(D41="",E41=""),"",D41+E41)</f>
        <v/>
      </c>
      <c r="G41" s="32" t="n"/>
      <c r="H41" s="32" t="n"/>
    </row>
    <row r="42">
      <c r="A42" s="67" t="n"/>
      <c r="B42" s="30" t="n"/>
      <c r="C42" s="30" t="n"/>
      <c r="D42" s="68" t="n"/>
      <c r="E42" s="68" t="n"/>
      <c r="F42" s="69">
        <f>IF(AND(D42="",E42=""),"",D42+E42)</f>
        <v/>
      </c>
      <c r="G42" s="30" t="n"/>
      <c r="H42" s="30" t="n"/>
    </row>
    <row r="43">
      <c r="A43" s="70" t="n"/>
      <c r="B43" s="32" t="n"/>
      <c r="C43" s="32" t="n"/>
      <c r="D43" s="71" t="n"/>
      <c r="E43" s="71" t="n"/>
      <c r="F43" s="72">
        <f>IF(AND(D43="",E43=""),"",D43+E43)</f>
        <v/>
      </c>
      <c r="G43" s="32" t="n"/>
      <c r="H43" s="32" t="n"/>
    </row>
    <row r="44">
      <c r="A44" s="67" t="n"/>
      <c r="B44" s="30" t="n"/>
      <c r="C44" s="30" t="n"/>
      <c r="D44" s="68" t="n"/>
      <c r="E44" s="68" t="n"/>
      <c r="F44" s="69">
        <f>IF(AND(D44="",E44=""),"",D44+E44)</f>
        <v/>
      </c>
      <c r="G44" s="30" t="n"/>
      <c r="H44" s="30" t="n"/>
    </row>
    <row r="45">
      <c r="A45" s="70" t="n"/>
      <c r="B45" s="32" t="n"/>
      <c r="C45" s="32" t="n"/>
      <c r="D45" s="71" t="n"/>
      <c r="E45" s="71" t="n"/>
      <c r="F45" s="72">
        <f>IF(AND(D45="",E45=""),"",D45+E45)</f>
        <v/>
      </c>
      <c r="G45" s="32" t="n"/>
      <c r="H45" s="32" t="n"/>
    </row>
    <row r="46">
      <c r="A46" s="61" t="inlineStr">
        <is>
          <t>TOTALS</t>
        </is>
      </c>
      <c r="B46" s="61" t="n"/>
      <c r="C46" s="61" t="n"/>
      <c r="D46" s="73">
        <f>SUM(D6:D45)</f>
        <v/>
      </c>
      <c r="E46" s="73">
        <f>SUM(E6:E45)</f>
        <v/>
      </c>
      <c r="F46" s="73">
        <f>SUM(F6:F45)</f>
        <v/>
      </c>
      <c r="G46" s="61" t="n"/>
      <c r="H46" s="61" t="n"/>
    </row>
    <row r="48">
      <c r="A48" s="74" t="inlineStr">
        <is>
          <t>Status values (suggested):</t>
        </is>
      </c>
      <c r="B48" s="75" t="inlineStr">
        <is>
          <t>Draft · Sent · Paid · Part-paid · Overdue · Credited · Void</t>
        </is>
      </c>
    </row>
  </sheetData>
  <autoFilter ref="A5:H45"/>
  <mergeCells count="4">
    <mergeCell ref="B48:E48"/>
    <mergeCell ref="A3:H3"/>
    <mergeCell ref="A2:H2"/>
    <mergeCell ref="A1:H1"/>
  </mergeCells>
  <pageMargins left="0.5" right="0.5" top="0.75" bottom="0.75" header="0.3" footer="0.3"/>
  <pageSetup orientation="landscape" paperSize="9" fitToHeight="0" fitToWidth="1"/>
  <headerFooter>
    <oddHeader>&amp;C&amp;"Calibri"&amp;9 Treun Roc Contracts  |  TR Connect  |  CONFIDENTIAL — INTERNAL MI</oddHeader>
    <oddFooter>&amp;LTreun Roc Contracts — Invoice Register&amp;CCONFIDENTIAL&amp;RPage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4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16" customWidth="1" min="3" max="3"/>
    <col width="16" customWidth="1" min="4" max="4"/>
    <col width="36" customWidth="1" min="5" max="5"/>
    <col width="3" customWidth="1" min="6" max="6"/>
  </cols>
  <sheetData>
    <row r="1">
      <c r="A1" s="1" t="n"/>
      <c r="B1" s="1" t="n"/>
      <c r="C1" s="1" t="n"/>
      <c r="D1" s="1" t="n"/>
      <c r="E1" s="1" t="n"/>
      <c r="F1" s="1" t="n"/>
    </row>
    <row r="2">
      <c r="A2" s="1" t="n"/>
      <c r="B2" s="20" t="inlineStr">
        <is>
          <t>CASH SUMMARY  ·  Manual / SAMPLE</t>
        </is>
      </c>
      <c r="F2" s="1" t="n"/>
    </row>
    <row r="3">
      <c r="A3" s="1" t="n"/>
      <c r="B3" s="4" t="inlineStr">
        <is>
          <t>Period: September 2026  ·  Opening → Receipts → Payments → Closing  ·  CONFIDENTIAL</t>
        </is>
      </c>
      <c r="F3" s="1" t="n"/>
    </row>
    <row r="4">
      <c r="A4" s="1" t="n"/>
      <c r="B4" s="5" t="n"/>
      <c r="C4" s="5" t="n"/>
      <c r="D4" s="5" t="n"/>
      <c r="E4" s="5" t="n"/>
      <c r="F4" s="1" t="n"/>
    </row>
    <row r="5">
      <c r="A5" s="1" t="n"/>
      <c r="B5" s="1" t="n"/>
      <c r="C5" s="1" t="n"/>
      <c r="D5" s="1" t="n"/>
      <c r="E5" s="1" t="n"/>
      <c r="F5" s="1" t="n"/>
    </row>
    <row r="6">
      <c r="A6" s="1" t="n"/>
      <c r="B6" s="22" t="inlineStr">
        <is>
          <t>Item</t>
        </is>
      </c>
      <c r="C6" s="22" t="inlineStr">
        <is>
          <t>Month £</t>
        </is>
      </c>
      <c r="D6" s="22" t="inlineStr">
        <is>
          <t>YTD £</t>
        </is>
      </c>
      <c r="E6" s="22" t="inlineStr">
        <is>
          <t>Notes</t>
        </is>
      </c>
      <c r="F6" s="1" t="n"/>
    </row>
    <row r="7">
      <c r="A7" s="1" t="n"/>
      <c r="B7" s="76" t="inlineStr">
        <is>
          <t>Opening cash</t>
        </is>
      </c>
      <c r="C7" s="27" t="n">
        <v>128500</v>
      </c>
      <c r="D7" s="27" t="n">
        <v>95000</v>
      </c>
      <c r="E7" s="29" t="inlineStr">
        <is>
          <t>SAMPLE — bank + petty (manual)</t>
        </is>
      </c>
      <c r="F7" s="1" t="n"/>
    </row>
    <row r="8">
      <c r="A8" s="1" t="n"/>
      <c r="B8" s="76" t="inlineStr">
        <is>
          <t>Receipts — debtors / invoices</t>
        </is>
      </c>
      <c r="C8" s="27" t="n">
        <v>142200</v>
      </c>
      <c r="D8" s="27" t="n">
        <v>820400</v>
      </c>
      <c r="E8" s="29" t="inlineStr">
        <is>
          <t>SAMPLE — from invoice receipts</t>
        </is>
      </c>
      <c r="F8" s="1" t="n"/>
    </row>
    <row r="9">
      <c r="A9" s="1" t="n"/>
      <c r="B9" s="76" t="inlineStr">
        <is>
          <t>Receipts — other</t>
        </is>
      </c>
      <c r="C9" s="27" t="n">
        <v>2500</v>
      </c>
      <c r="D9" s="27" t="n">
        <v>14800</v>
      </c>
      <c r="E9" s="29" t="inlineStr">
        <is>
          <t>SAMPLE — interest / misc</t>
        </is>
      </c>
      <c r="F9" s="1" t="n"/>
    </row>
    <row r="10">
      <c r="A10" s="1" t="n"/>
      <c r="B10" s="34" t="inlineStr">
        <is>
          <t>Total receipts</t>
        </is>
      </c>
      <c r="C10" s="36">
        <f>C8+C9</f>
        <v/>
      </c>
      <c r="D10" s="36">
        <f>D8+D9</f>
        <v/>
      </c>
      <c r="E10" s="34" t="inlineStr">
        <is>
          <t>Formula</t>
        </is>
      </c>
      <c r="F10" s="1" t="n"/>
    </row>
    <row r="11">
      <c r="A11" s="1" t="n"/>
      <c r="B11" s="76" t="inlineStr">
        <is>
          <t>Payments — suppliers / CoS</t>
        </is>
      </c>
      <c r="C11" s="27" t="n">
        <v>98400</v>
      </c>
      <c r="D11" s="27" t="n">
        <v>612000</v>
      </c>
      <c r="E11" s="29" t="inlineStr">
        <is>
          <t>SAMPLE — job costs paid</t>
        </is>
      </c>
      <c r="F11" s="1" t="n"/>
    </row>
    <row r="12">
      <c r="A12" s="1" t="n"/>
      <c r="B12" s="76" t="inlineStr">
        <is>
          <t>Payments — overheads / wages</t>
        </is>
      </c>
      <c r="C12" s="27" t="n">
        <v>52100</v>
      </c>
      <c r="D12" s="27" t="n">
        <v>310200</v>
      </c>
      <c r="E12" s="29" t="inlineStr">
        <is>
          <t>SAMPLE — payroll &amp; OH</t>
        </is>
      </c>
      <c r="F12" s="1" t="n"/>
    </row>
    <row r="13">
      <c r="A13" s="1" t="n"/>
      <c r="B13" s="76" t="inlineStr">
        <is>
          <t>Payments — VAT / tax</t>
        </is>
      </c>
      <c r="C13" s="27" t="n">
        <v>18200</v>
      </c>
      <c r="D13" s="27" t="n">
        <v>95600</v>
      </c>
      <c r="E13" s="29" t="inlineStr">
        <is>
          <t>SAMPLE — HMRC</t>
        </is>
      </c>
      <c r="F13" s="1" t="n"/>
    </row>
    <row r="14">
      <c r="A14" s="1" t="n"/>
      <c r="B14" s="76" t="inlineStr">
        <is>
          <t>Payments — other</t>
        </is>
      </c>
      <c r="C14" s="27" t="n">
        <v>3100</v>
      </c>
      <c r="D14" s="27" t="n">
        <v>18400</v>
      </c>
      <c r="E14" s="29" t="inlineStr">
        <is>
          <t>SAMPLE</t>
        </is>
      </c>
      <c r="F14" s="1" t="n"/>
    </row>
    <row r="15">
      <c r="A15" s="1" t="n"/>
      <c r="B15" s="34" t="inlineStr">
        <is>
          <t>Total payments</t>
        </is>
      </c>
      <c r="C15" s="36">
        <f>C11+C12+C13+C14</f>
        <v/>
      </c>
      <c r="D15" s="36">
        <f>D11+D12+D13+D14</f>
        <v/>
      </c>
      <c r="E15" s="34" t="inlineStr">
        <is>
          <t>Formula</t>
        </is>
      </c>
      <c r="F15" s="1" t="n"/>
    </row>
    <row r="16">
      <c r="A16" s="1" t="n"/>
      <c r="B16" s="34" t="inlineStr">
        <is>
          <t>Net cash movement</t>
        </is>
      </c>
      <c r="C16" s="36">
        <f>C10-C15</f>
        <v/>
      </c>
      <c r="D16" s="36">
        <f>D10-D15</f>
        <v/>
      </c>
      <c r="E16" s="34" t="inlineStr">
        <is>
          <t>Formula</t>
        </is>
      </c>
      <c r="F16" s="1" t="n"/>
    </row>
    <row r="17" ht="26" customHeight="1">
      <c r="A17" s="1" t="n"/>
      <c r="B17" s="45" t="inlineStr">
        <is>
          <t>Closing cash</t>
        </is>
      </c>
      <c r="C17" s="46">
        <f>C7+C16</f>
        <v/>
      </c>
      <c r="D17" s="46">
        <f>D7+D16</f>
        <v/>
      </c>
      <c r="E17" s="45" t="inlineStr">
        <is>
          <t>Formula</t>
        </is>
      </c>
      <c r="F17" s="1" t="n"/>
    </row>
    <row r="18">
      <c r="A18" s="1" t="n"/>
      <c r="B18" s="1" t="n"/>
      <c r="C18" s="1" t="n"/>
      <c r="D18" s="1" t="n"/>
      <c r="E18" s="1" t="n"/>
      <c r="F18" s="1" t="n"/>
    </row>
    <row r="19">
      <c r="A19" s="1" t="n"/>
      <c r="B19" s="17" t="inlineStr">
        <is>
          <t>DISCLAIMER — Cash figures are management estimates / SAMPLE until reconciled to bank. This sheet is not a bank reconciliation and does not replace Xero/Sage cashbook or statutory cash flow statement. Update manually each period or paste from ledger export.</t>
        </is>
      </c>
      <c r="C19" s="18" t="n"/>
      <c r="D19" s="18" t="n"/>
      <c r="E19" s="18" t="n"/>
      <c r="F19" s="1" t="n"/>
    </row>
    <row r="20">
      <c r="A20" s="1" t="n"/>
      <c r="B20" s="18" t="n"/>
      <c r="C20" s="18" t="n"/>
      <c r="D20" s="18" t="n"/>
      <c r="E20" s="18" t="n"/>
      <c r="F20" s="1" t="n"/>
    </row>
    <row r="21">
      <c r="A21" s="1" t="n"/>
      <c r="B21" s="18" t="n"/>
      <c r="C21" s="18" t="n"/>
      <c r="D21" s="18" t="n"/>
      <c r="E21" s="18" t="n"/>
      <c r="F21" s="1" t="n"/>
    </row>
    <row r="22">
      <c r="A22" s="1" t="n"/>
      <c r="B22" s="18" t="n"/>
      <c r="C22" s="18" t="n"/>
      <c r="D22" s="18" t="n"/>
      <c r="E22" s="18" t="n"/>
      <c r="F22" s="1" t="n"/>
    </row>
    <row r="23">
      <c r="A23" s="1" t="n"/>
      <c r="B23" s="1" t="n"/>
      <c r="C23" s="1" t="n"/>
      <c r="D23" s="1" t="n"/>
      <c r="E23" s="1" t="n"/>
      <c r="F23" s="1" t="n"/>
    </row>
    <row r="24">
      <c r="A24" s="1" t="n"/>
      <c r="B24" s="1" t="n"/>
      <c r="C24" s="1" t="n"/>
      <c r="D24" s="1" t="n"/>
      <c r="E24" s="1" t="n"/>
      <c r="F24" s="1" t="n"/>
    </row>
    <row r="25">
      <c r="A25" s="1" t="n"/>
      <c r="B25" s="1" t="n"/>
      <c r="C25" s="1" t="n"/>
      <c r="D25" s="1" t="n"/>
      <c r="E25" s="1" t="n"/>
      <c r="F25" s="1" t="n"/>
    </row>
    <row r="26">
      <c r="A26" s="1" t="n"/>
      <c r="B26" s="1" t="n"/>
      <c r="C26" s="1" t="n"/>
      <c r="D26" s="1" t="n"/>
      <c r="E26" s="1" t="n"/>
      <c r="F26" s="1" t="n"/>
    </row>
    <row r="27">
      <c r="A27" s="1" t="n"/>
      <c r="B27" s="1" t="n"/>
      <c r="C27" s="1" t="n"/>
      <c r="D27" s="1" t="n"/>
      <c r="E27" s="1" t="n"/>
      <c r="F27" s="1" t="n"/>
    </row>
    <row r="28">
      <c r="A28" s="1" t="n"/>
      <c r="B28" s="1" t="n"/>
      <c r="C28" s="1" t="n"/>
      <c r="D28" s="1" t="n"/>
      <c r="E28" s="1" t="n"/>
      <c r="F28" s="1" t="n"/>
    </row>
    <row r="29">
      <c r="A29" s="1" t="n"/>
      <c r="B29" s="1" t="n"/>
      <c r="C29" s="1" t="n"/>
      <c r="D29" s="1" t="n"/>
      <c r="E29" s="1" t="n"/>
      <c r="F29" s="1" t="n"/>
    </row>
    <row r="30">
      <c r="A30" s="1" t="n"/>
      <c r="B30" s="1" t="n"/>
      <c r="C30" s="1" t="n"/>
      <c r="D30" s="1" t="n"/>
      <c r="E30" s="1" t="n"/>
      <c r="F30" s="1" t="n"/>
    </row>
    <row r="31">
      <c r="A31" s="1" t="n"/>
      <c r="B31" s="1" t="n"/>
      <c r="C31" s="1" t="n"/>
      <c r="D31" s="1" t="n"/>
      <c r="E31" s="1" t="n"/>
      <c r="F31" s="1" t="n"/>
    </row>
    <row r="32">
      <c r="A32" s="1" t="n"/>
      <c r="B32" s="1" t="n"/>
      <c r="C32" s="1" t="n"/>
      <c r="D32" s="1" t="n"/>
      <c r="E32" s="1" t="n"/>
      <c r="F32" s="1" t="n"/>
    </row>
    <row r="33">
      <c r="A33" s="1" t="n"/>
      <c r="B33" s="1" t="n"/>
      <c r="C33" s="1" t="n"/>
      <c r="D33" s="1" t="n"/>
      <c r="E33" s="1" t="n"/>
      <c r="F33" s="1" t="n"/>
    </row>
    <row r="34">
      <c r="A34" s="1" t="n"/>
      <c r="B34" s="1" t="n"/>
      <c r="C34" s="1" t="n"/>
      <c r="D34" s="1" t="n"/>
      <c r="E34" s="1" t="n"/>
      <c r="F34" s="1" t="n"/>
    </row>
    <row r="35">
      <c r="A35" s="1" t="n"/>
      <c r="B35" s="1" t="n"/>
      <c r="C35" s="1" t="n"/>
      <c r="D35" s="1" t="n"/>
      <c r="E35" s="1" t="n"/>
      <c r="F35" s="1" t="n"/>
    </row>
    <row r="36">
      <c r="A36" s="1" t="n"/>
      <c r="B36" s="1" t="n"/>
      <c r="C36" s="1" t="n"/>
      <c r="D36" s="1" t="n"/>
      <c r="E36" s="1" t="n"/>
      <c r="F36" s="1" t="n"/>
    </row>
    <row r="37">
      <c r="A37" s="1" t="n"/>
      <c r="B37" s="1" t="n"/>
      <c r="C37" s="1" t="n"/>
      <c r="D37" s="1" t="n"/>
      <c r="E37" s="1" t="n"/>
      <c r="F37" s="1" t="n"/>
    </row>
    <row r="38">
      <c r="A38" s="1" t="n"/>
      <c r="B38" s="1" t="n"/>
      <c r="C38" s="1" t="n"/>
      <c r="D38" s="1" t="n"/>
      <c r="E38" s="1" t="n"/>
      <c r="F38" s="1" t="n"/>
    </row>
    <row r="39">
      <c r="A39" s="1" t="n"/>
      <c r="B39" s="1" t="n"/>
      <c r="C39" s="1" t="n"/>
      <c r="D39" s="1" t="n"/>
      <c r="E39" s="1" t="n"/>
      <c r="F39" s="1" t="n"/>
    </row>
    <row r="40">
      <c r="A40" s="1" t="n"/>
      <c r="B40" s="1" t="n"/>
      <c r="C40" s="1" t="n"/>
      <c r="D40" s="1" t="n"/>
      <c r="E40" s="1" t="n"/>
      <c r="F40" s="1" t="n"/>
    </row>
  </sheetData>
  <mergeCells count="3">
    <mergeCell ref="B19:E22"/>
    <mergeCell ref="B3:E3"/>
    <mergeCell ref="B2:E2"/>
  </mergeCells>
  <pageMargins left="0.5" right="0.5" top="0.75" bottom="0.75" header="0.3" footer="0.3"/>
  <pageSetup orientation="portrait" paperSize="9" fitToHeight="0" fitToWidth="1"/>
  <headerFooter>
    <oddHeader>&amp;C&amp;"Calibri"&amp;9 Treun Roc Contracts  |  TR Connect  |  CONFIDENTIAL — INTERNAL MI</oddHeader>
    <oddFooter>&amp;LTreun Roc Contracts — Cash Summary&amp;CCONFIDENTIAL&amp;RPage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3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16" customWidth="1" min="3" max="3"/>
    <col width="16" customWidth="1" min="4" max="4"/>
    <col width="40" customWidth="1" min="5" max="5"/>
    <col width="3" customWidth="1" min="6" max="6"/>
  </cols>
  <sheetData>
    <row r="1">
      <c r="A1" s="1" t="n"/>
      <c r="B1" s="1" t="n"/>
      <c r="C1" s="1" t="n"/>
      <c r="D1" s="1" t="n"/>
      <c r="E1" s="1" t="n"/>
      <c r="F1" s="1" t="n"/>
    </row>
    <row r="2">
      <c r="A2" s="1" t="n"/>
      <c r="B2" s="20" t="inlineStr">
        <is>
          <t>VAT CONTROL  ·  Template</t>
        </is>
      </c>
      <c r="F2" s="1" t="n"/>
    </row>
    <row r="3">
      <c r="A3" s="1" t="n"/>
      <c r="B3" s="4" t="inlineStr">
        <is>
          <t>VAT period (edit): 01/07/2026 – 30/09/2026  ·  CONFIDENTIAL — INTERNAL MI</t>
        </is>
      </c>
      <c r="F3" s="1" t="n"/>
    </row>
    <row r="4">
      <c r="A4" s="1" t="n"/>
      <c r="B4" s="5" t="n"/>
      <c r="C4" s="5" t="n"/>
      <c r="D4" s="5" t="n"/>
      <c r="E4" s="5" t="n"/>
      <c r="F4" s="1" t="n"/>
    </row>
    <row r="5">
      <c r="A5" s="1" t="n"/>
      <c r="B5" s="1" t="n"/>
      <c r="C5" s="1" t="n"/>
      <c r="D5" s="1" t="n"/>
      <c r="E5" s="1" t="n"/>
      <c r="F5" s="1" t="n"/>
    </row>
    <row r="6">
      <c r="A6" s="1" t="n"/>
      <c r="B6" s="22" t="inlineStr">
        <is>
          <t>Line</t>
        </is>
      </c>
      <c r="C6" s="22" t="inlineStr">
        <is>
          <t>Net £</t>
        </is>
      </c>
      <c r="D6" s="22" t="inlineStr">
        <is>
          <t>VAT £</t>
        </is>
      </c>
      <c r="E6" s="22" t="inlineStr">
        <is>
          <t>Source / notes</t>
        </is>
      </c>
      <c r="F6" s="1" t="n"/>
    </row>
    <row r="7">
      <c r="A7" s="1" t="n"/>
      <c r="B7" s="14" t="inlineStr">
        <is>
          <t>OUTPUT VAT</t>
        </is>
      </c>
      <c r="C7" s="14" t="n"/>
      <c r="D7" s="14" t="n"/>
      <c r="E7" s="14" t="inlineStr">
        <is>
          <t>Section header</t>
        </is>
      </c>
      <c r="F7" s="1" t="n"/>
    </row>
    <row r="8">
      <c r="A8" s="1" t="n"/>
      <c r="B8" s="26" t="inlineStr">
        <is>
          <t>Standard-rated supplies (20%)</t>
        </is>
      </c>
      <c r="C8" s="65" t="n">
        <v>153700</v>
      </c>
      <c r="D8" s="65" t="n">
        <v>30740</v>
      </c>
      <c r="E8" s="29" t="inlineStr">
        <is>
          <t>SAMPLE — from invoice register</t>
        </is>
      </c>
      <c r="F8" s="1" t="n"/>
    </row>
    <row r="9">
      <c r="A9" s="1" t="n"/>
      <c r="B9" s="32" t="inlineStr">
        <is>
          <t>Reduced / zero-rated supplies</t>
        </is>
      </c>
      <c r="C9" s="71" t="n">
        <v>0</v>
      </c>
      <c r="D9" s="71" t="n">
        <v>0</v>
      </c>
      <c r="E9" s="44" t="inlineStr">
        <is>
          <t>Edit if applicable</t>
        </is>
      </c>
      <c r="F9" s="1" t="n"/>
    </row>
    <row r="10">
      <c r="A10" s="1" t="n"/>
      <c r="B10" s="34" t="inlineStr">
        <is>
          <t>Total output VAT</t>
        </is>
      </c>
      <c r="C10" s="77">
        <f>C8+C9</f>
        <v/>
      </c>
      <c r="D10" s="77">
        <f>D8+D9</f>
        <v/>
      </c>
      <c r="E10" s="34" t="inlineStr">
        <is>
          <t>Formula = SUM output VAT</t>
        </is>
      </c>
      <c r="F10" s="1" t="n"/>
    </row>
    <row r="11">
      <c r="A11" s="1" t="n"/>
      <c r="B11" s="14" t="inlineStr">
        <is>
          <t>INPUT VAT</t>
        </is>
      </c>
      <c r="C11" s="14" t="n"/>
      <c r="D11" s="14" t="n"/>
      <c r="E11" s="14" t="inlineStr">
        <is>
          <t>Section header</t>
        </is>
      </c>
      <c r="F11" s="1" t="n"/>
    </row>
    <row r="12">
      <c r="A12" s="1" t="n"/>
      <c r="B12" s="26" t="inlineStr">
        <is>
          <t>Purchases / CoS reclaimable</t>
        </is>
      </c>
      <c r="C12" s="65" t="n">
        <v>98400</v>
      </c>
      <c r="D12" s="65" t="n">
        <v>19680</v>
      </c>
      <c r="E12" s="29" t="inlineStr">
        <is>
          <t>SAMPLE — supplier invoices</t>
        </is>
      </c>
      <c r="F12" s="1" t="n"/>
    </row>
    <row r="13">
      <c r="A13" s="1" t="n"/>
      <c r="B13" s="26" t="inlineStr">
        <is>
          <t>Overheads reclaimable</t>
        </is>
      </c>
      <c r="C13" s="65" t="n">
        <v>22100</v>
      </c>
      <c r="D13" s="65" t="n">
        <v>4420</v>
      </c>
      <c r="E13" s="29" t="inlineStr">
        <is>
          <t>SAMPLE — OH invoices with VAT</t>
        </is>
      </c>
      <c r="F13" s="1" t="n"/>
    </row>
    <row r="14">
      <c r="A14" s="1" t="n"/>
      <c r="B14" s="32" t="inlineStr">
        <is>
          <t>Capital / other reclaimable</t>
        </is>
      </c>
      <c r="C14" s="71" t="n">
        <v>0</v>
      </c>
      <c r="D14" s="71" t="n">
        <v>0</v>
      </c>
      <c r="E14" s="44" t="inlineStr">
        <is>
          <t>Edit if applicable</t>
        </is>
      </c>
      <c r="F14" s="1" t="n"/>
    </row>
    <row r="15">
      <c r="A15" s="1" t="n"/>
      <c r="B15" s="34" t="inlineStr">
        <is>
          <t>Total input VAT</t>
        </is>
      </c>
      <c r="C15" s="77">
        <f>C12+C13+C14</f>
        <v/>
      </c>
      <c r="D15" s="77">
        <f>D12+D13+D14</f>
        <v/>
      </c>
      <c r="E15" s="34" t="inlineStr">
        <is>
          <t>Formula</t>
        </is>
      </c>
      <c r="F15" s="1" t="n"/>
    </row>
    <row r="16" ht="26" customHeight="1">
      <c r="A16" s="1" t="n"/>
      <c r="B16" s="45" t="inlineStr">
        <is>
          <t>NET VAT DUE / (REPAYABLE)</t>
        </is>
      </c>
      <c r="C16" s="78">
        <f>C10-C15</f>
        <v/>
      </c>
      <c r="D16" s="78">
        <f>D10-D15</f>
        <v/>
      </c>
      <c r="E16" s="45" t="inlineStr">
        <is>
          <t>Output − Input</t>
        </is>
      </c>
      <c r="F16" s="1" t="n"/>
    </row>
    <row r="17">
      <c r="A17" s="1" t="n"/>
      <c r="B17" s="1" t="n"/>
      <c r="C17" s="1" t="n"/>
      <c r="D17" s="1" t="n"/>
      <c r="E17" s="1" t="n"/>
      <c r="F17" s="1" t="n"/>
    </row>
    <row r="18">
      <c r="A18" s="1" t="n"/>
      <c r="B18" s="17" t="inlineStr">
        <is>
          <t>VAT TEMPLATE ONLY — This control account is for management MI and does not replace Making Tax Digital (MTD) submissions, the VAT return, or accountant advice. Reconcile to Xero/Sage VAT report and HMRC before payment. Rates assumed UK standard 20% on sample lines; adjust for reverse charge, CIS, or construction industry schemes as advised by your accountant. NOT for Companies House or Corporation Tax filing.</t>
        </is>
      </c>
      <c r="C18" s="18" t="n"/>
      <c r="D18" s="18" t="n"/>
      <c r="E18" s="18" t="n"/>
      <c r="F18" s="1" t="n"/>
    </row>
    <row r="19">
      <c r="A19" s="1" t="n"/>
      <c r="B19" s="18" t="n"/>
      <c r="C19" s="18" t="n"/>
      <c r="D19" s="18" t="n"/>
      <c r="E19" s="18" t="n"/>
      <c r="F19" s="1" t="n"/>
    </row>
    <row r="20">
      <c r="A20" s="1" t="n"/>
      <c r="B20" s="18" t="n"/>
      <c r="C20" s="18" t="n"/>
      <c r="D20" s="18" t="n"/>
      <c r="E20" s="18" t="n"/>
      <c r="F20" s="1" t="n"/>
    </row>
    <row r="21">
      <c r="A21" s="1" t="n"/>
      <c r="B21" s="18" t="n"/>
      <c r="C21" s="18" t="n"/>
      <c r="D21" s="18" t="n"/>
      <c r="E21" s="18" t="n"/>
      <c r="F21" s="1" t="n"/>
    </row>
    <row r="22">
      <c r="A22" s="1" t="n"/>
      <c r="B22" s="18" t="n"/>
      <c r="C22" s="18" t="n"/>
      <c r="D22" s="18" t="n"/>
      <c r="E22" s="18" t="n"/>
      <c r="F22" s="1" t="n"/>
    </row>
    <row r="23">
      <c r="A23" s="1" t="n"/>
      <c r="B23" s="1" t="n"/>
      <c r="C23" s="1" t="n"/>
      <c r="D23" s="1" t="n"/>
      <c r="E23" s="1" t="n"/>
      <c r="F23" s="1" t="n"/>
    </row>
    <row r="24">
      <c r="A24" s="1" t="n"/>
      <c r="B24" s="1" t="n"/>
      <c r="C24" s="1" t="n"/>
      <c r="D24" s="1" t="n"/>
      <c r="E24" s="1" t="n"/>
      <c r="F24" s="1" t="n"/>
    </row>
    <row r="25">
      <c r="A25" s="1" t="n"/>
      <c r="B25" s="1" t="n"/>
      <c r="C25" s="1" t="n"/>
      <c r="D25" s="1" t="n"/>
      <c r="E25" s="1" t="n"/>
      <c r="F25" s="1" t="n"/>
    </row>
    <row r="26">
      <c r="A26" s="1" t="n"/>
      <c r="B26" s="1" t="n"/>
      <c r="C26" s="1" t="n"/>
      <c r="D26" s="1" t="n"/>
      <c r="E26" s="1" t="n"/>
      <c r="F26" s="1" t="n"/>
    </row>
    <row r="27">
      <c r="A27" s="1" t="n"/>
      <c r="B27" s="1" t="n"/>
      <c r="C27" s="1" t="n"/>
      <c r="D27" s="1" t="n"/>
      <c r="E27" s="1" t="n"/>
      <c r="F27" s="1" t="n"/>
    </row>
    <row r="28">
      <c r="A28" s="1" t="n"/>
      <c r="B28" s="1" t="n"/>
      <c r="C28" s="1" t="n"/>
      <c r="D28" s="1" t="n"/>
      <c r="E28" s="1" t="n"/>
      <c r="F28" s="1" t="n"/>
    </row>
    <row r="29">
      <c r="A29" s="1" t="n"/>
      <c r="B29" s="1" t="n"/>
      <c r="C29" s="1" t="n"/>
      <c r="D29" s="1" t="n"/>
      <c r="E29" s="1" t="n"/>
      <c r="F29" s="1" t="n"/>
    </row>
    <row r="30">
      <c r="A30" s="1" t="n"/>
      <c r="B30" s="1" t="n"/>
      <c r="C30" s="1" t="n"/>
      <c r="D30" s="1" t="n"/>
      <c r="E30" s="1" t="n"/>
      <c r="F30" s="1" t="n"/>
    </row>
    <row r="31">
      <c r="A31" s="1" t="n"/>
      <c r="B31" s="1" t="n"/>
      <c r="C31" s="1" t="n"/>
      <c r="D31" s="1" t="n"/>
      <c r="E31" s="1" t="n"/>
      <c r="F31" s="1" t="n"/>
    </row>
    <row r="32">
      <c r="A32" s="1" t="n"/>
      <c r="B32" s="1" t="n"/>
      <c r="C32" s="1" t="n"/>
      <c r="D32" s="1" t="n"/>
      <c r="E32" s="1" t="n"/>
      <c r="F32" s="1" t="n"/>
    </row>
    <row r="33">
      <c r="A33" s="1" t="n"/>
      <c r="B33" s="1" t="n"/>
      <c r="C33" s="1" t="n"/>
      <c r="D33" s="1" t="n"/>
      <c r="E33" s="1" t="n"/>
      <c r="F33" s="1" t="n"/>
    </row>
    <row r="34">
      <c r="A34" s="1" t="n"/>
      <c r="B34" s="1" t="n"/>
      <c r="C34" s="1" t="n"/>
      <c r="D34" s="1" t="n"/>
      <c r="E34" s="1" t="n"/>
      <c r="F34" s="1" t="n"/>
    </row>
    <row r="35">
      <c r="A35" s="1" t="n"/>
      <c r="B35" s="1" t="n"/>
      <c r="C35" s="1" t="n"/>
      <c r="D35" s="1" t="n"/>
      <c r="E35" s="1" t="n"/>
      <c r="F35" s="1" t="n"/>
    </row>
  </sheetData>
  <mergeCells count="3">
    <mergeCell ref="B3:E3"/>
    <mergeCell ref="B2:E2"/>
    <mergeCell ref="B18:E22"/>
  </mergeCells>
  <pageMargins left="0.5" right="0.5" top="0.75" bottom="0.75" header="0.3" footer="0.3"/>
  <pageSetup orientation="portrait" paperSize="9" fitToHeight="0" fitToWidth="1"/>
  <headerFooter>
    <oddHeader>&amp;C&amp;"Calibri"&amp;9 Treun Roc Contracts  |  TR Connect  |  CONFIDENTIAL — INTERNAL MI</oddHeader>
    <oddFooter>&amp;LTreun Roc Contracts — VAT Control&amp;CCONFIDENTIAL&amp;RPage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55"/>
  <sheetViews>
    <sheetView showGridLines="0" workbookViewId="0">
      <selection activeCell="A1" sqref="A1"/>
    </sheetView>
  </sheetViews>
  <sheetFormatPr baseColWidth="8" defaultRowHeight="15"/>
  <cols>
    <col width="3" customWidth="1" min="1" max="1"/>
    <col width="28" customWidth="1" min="2" max="2"/>
    <col width="58" customWidth="1" min="3" max="3"/>
    <col width="16" customWidth="1" min="4" max="4"/>
    <col width="3" customWidth="1" min="5" max="5"/>
  </cols>
  <sheetData>
    <row r="1">
      <c r="A1" s="1" t="n"/>
      <c r="B1" s="1" t="n"/>
      <c r="C1" s="1" t="n"/>
      <c r="D1" s="1" t="n"/>
      <c r="E1" s="1" t="n"/>
    </row>
    <row r="2">
      <c r="A2" s="1" t="n"/>
      <c r="B2" s="20" t="inlineStr">
        <is>
          <t>ASSUMPTIONS &amp; DISCLAIMER</t>
        </is>
      </c>
      <c r="E2" s="1" t="n"/>
    </row>
    <row r="3">
      <c r="A3" s="1" t="n"/>
      <c r="B3" s="4" t="inlineStr">
        <is>
          <t>Locked 17 September 2026 · Treun Roc Contracts / TR Connect · External-party wording</t>
        </is>
      </c>
      <c r="E3" s="1" t="n"/>
    </row>
    <row r="4">
      <c r="A4" s="1" t="n"/>
      <c r="B4" s="5" t="n"/>
      <c r="C4" s="5" t="n"/>
      <c r="D4" s="5" t="n"/>
      <c r="E4" s="1" t="n"/>
    </row>
    <row r="5">
      <c r="A5" s="1" t="n"/>
      <c r="B5" s="1" t="n"/>
      <c r="C5" s="1" t="n"/>
      <c r="D5" s="1" t="n"/>
      <c r="E5" s="1" t="n"/>
    </row>
    <row r="6">
      <c r="A6" s="1" t="n"/>
      <c r="B6" s="79" t="inlineStr">
        <is>
          <t>EXTERNAL-PARTY DISCLAIMER
This Management P&amp;L pack is confidential internal management information prepared for Ryan Wilson (Treun Roc Contracts) and may be shared only with named third parties he expressly authorises. It is NOT audited, NOT statutory accounts under UK GAAP/FRS 102, and MUST NOT be filed at Companies House, used as Corporation Tax computations, or presented as audited financial statements. Recipients must not rely on SAMPLE figures. Live figures should be confirmed against Connect job P&amp;L and the company’s ledger (Xero/Sage) and, where material decisions are involved, independent professional advice.</t>
        </is>
      </c>
      <c r="C6" s="18" t="n"/>
      <c r="D6" s="18" t="n"/>
      <c r="E6" s="1" t="n"/>
    </row>
    <row r="7">
      <c r="A7" s="1" t="n"/>
      <c r="B7" s="18" t="n"/>
      <c r="C7" s="18" t="n"/>
      <c r="D7" s="18" t="n"/>
      <c r="E7" s="1" t="n"/>
    </row>
    <row r="8">
      <c r="A8" s="1" t="n"/>
      <c r="B8" s="18" t="n"/>
      <c r="C8" s="18" t="n"/>
      <c r="D8" s="18" t="n"/>
      <c r="E8" s="1" t="n"/>
    </row>
    <row r="9">
      <c r="A9" s="1" t="n"/>
      <c r="B9" s="18" t="n"/>
      <c r="C9" s="18" t="n"/>
      <c r="D9" s="18" t="n"/>
      <c r="E9" s="1" t="n"/>
    </row>
    <row r="10">
      <c r="A10" s="1" t="n"/>
      <c r="B10" s="18" t="n"/>
      <c r="C10" s="18" t="n"/>
      <c r="D10" s="18" t="n"/>
      <c r="E10" s="1" t="n"/>
    </row>
    <row r="11">
      <c r="A11" s="1" t="n"/>
      <c r="B11" s="18" t="n"/>
      <c r="C11" s="18" t="n"/>
      <c r="D11" s="18" t="n"/>
      <c r="E11" s="1" t="n"/>
    </row>
    <row r="12">
      <c r="A12" s="1" t="n"/>
      <c r="B12" s="1" t="n"/>
      <c r="C12" s="1" t="n"/>
      <c r="D12" s="1" t="n"/>
      <c r="E12" s="1" t="n"/>
    </row>
    <row r="13">
      <c r="A13" s="1" t="n"/>
      <c r="B13" s="13" t="inlineStr">
        <is>
          <t>Item</t>
        </is>
      </c>
      <c r="C13" s="13" t="inlineStr">
        <is>
          <t>Definition / value</t>
        </is>
      </c>
      <c r="D13" s="13" t="inlineStr">
        <is>
          <t>Owner</t>
        </is>
      </c>
      <c r="E13" s="1" t="n"/>
    </row>
    <row r="14" ht="28" customHeight="1">
      <c r="A14" s="1" t="n"/>
      <c r="B14" s="14" t="inlineStr">
        <is>
          <t>Accounting basis</t>
        </is>
      </c>
      <c r="C14" s="80" t="inlineStr">
        <is>
          <t>Management / internal MI — cash and accruals mixed as practical for ops; not statutory</t>
        </is>
      </c>
      <c r="D14" s="81" t="inlineStr">
        <is>
          <t>Finance</t>
        </is>
      </c>
      <c r="E14" s="1" t="n"/>
    </row>
    <row r="15" ht="28" customHeight="1">
      <c r="A15" s="1" t="n"/>
      <c r="B15" s="14" t="inlineStr">
        <is>
          <t>Revenue recognition</t>
        </is>
      </c>
      <c r="C15" s="82" t="inlineStr">
        <is>
          <t>Job revenue as recognised in Connect job P&amp;L / invoice timing for MI; may differ from statutory</t>
        </is>
      </c>
      <c r="D15" s="23" t="inlineStr">
        <is>
          <t>Commercial</t>
        </is>
      </c>
      <c r="E15" s="1" t="n"/>
    </row>
    <row r="16" ht="28" customHeight="1">
      <c r="A16" s="1" t="n"/>
      <c r="B16" s="14" t="inlineStr">
        <is>
          <t>Cost of sales</t>
        </is>
      </c>
      <c r="C16" s="80" t="inlineStr">
        <is>
          <t>Direct job costs: labour, materials, subcontract, plant attributable to jobs</t>
        </is>
      </c>
      <c r="D16" s="81" t="inlineStr">
        <is>
          <t>Commercial</t>
        </is>
      </c>
      <c r="E16" s="1" t="n"/>
    </row>
    <row r="17" ht="28" customHeight="1">
      <c r="A17" s="1" t="n"/>
      <c r="B17" s="14" t="inlineStr">
        <is>
          <t>Gross profit</t>
        </is>
      </c>
      <c r="C17" s="82" t="inlineStr">
        <is>
          <t>Revenue − Cost of sales (management definition)</t>
        </is>
      </c>
      <c r="D17" s="23" t="inlineStr">
        <is>
          <t>Finance</t>
        </is>
      </c>
      <c r="E17" s="1" t="n"/>
    </row>
    <row r="18" ht="28" customHeight="1">
      <c r="A18" s="1" t="n"/>
      <c r="B18" s="14" t="inlineStr">
        <is>
          <t>Overheads</t>
        </is>
      </c>
      <c r="C18" s="80" t="inlineStr">
        <is>
          <t>Editable non-job operating costs; estimates until ledger-reconciled</t>
        </is>
      </c>
      <c r="D18" s="81" t="inlineStr">
        <is>
          <t>Finance</t>
        </is>
      </c>
      <c r="E18" s="1" t="n"/>
    </row>
    <row r="19" ht="28" customHeight="1">
      <c r="A19" s="1" t="n"/>
      <c r="B19" s="14" t="inlineStr">
        <is>
          <t>Operating profit</t>
        </is>
      </c>
      <c r="C19" s="82" t="inlineStr">
        <is>
          <t>Gross profit − Overheads (management OP; before interest/tax)</t>
        </is>
      </c>
      <c r="D19" s="23" t="inlineStr">
        <is>
          <t>Finance</t>
        </is>
      </c>
      <c r="E19" s="1" t="n"/>
    </row>
    <row r="20" ht="28" customHeight="1">
      <c r="A20" s="1" t="n"/>
      <c r="B20" s="14" t="inlineStr">
        <is>
          <t>Currency</t>
        </is>
      </c>
      <c r="C20" s="80" t="inlineStr">
        <is>
          <t>GBP £</t>
        </is>
      </c>
      <c r="D20" s="81" t="inlineStr">
        <is>
          <t>Finance</t>
        </is>
      </c>
      <c r="E20" s="1" t="n"/>
    </row>
    <row r="21" ht="28" customHeight="1">
      <c r="A21" s="1" t="n"/>
      <c r="B21" s="14" t="inlineStr">
        <is>
          <t>VAT</t>
        </is>
      </c>
      <c r="C21" s="82" t="inlineStr">
        <is>
          <t>UK VAT control template only — not MTD submission</t>
        </is>
      </c>
      <c r="D21" s="23" t="inlineStr">
        <is>
          <t>Finance</t>
        </is>
      </c>
      <c r="E21" s="1" t="n"/>
    </row>
    <row r="22" ht="28" customHeight="1">
      <c r="A22" s="1" t="n"/>
      <c r="B22" s="14" t="inlineStr">
        <is>
          <t>Invoice register</t>
        </is>
      </c>
      <c r="C22" s="80" t="inlineStr">
        <is>
          <t>Handoff columns for Xero/Sage: Date, Number, Client, Net, VAT, Gross, Status</t>
        </is>
      </c>
      <c r="D22" s="81" t="inlineStr">
        <is>
          <t>Finance</t>
        </is>
      </c>
      <c r="E22" s="1" t="n"/>
    </row>
    <row r="23" ht="28" customHeight="1">
      <c r="A23" s="1" t="n"/>
      <c r="B23" s="14" t="inlineStr">
        <is>
          <t>Cash summary</t>
        </is>
      </c>
      <c r="C23" s="82" t="inlineStr">
        <is>
          <t>Manual opening/receipts/payments/closing — SAMPLE until bank-reconciled</t>
        </is>
      </c>
      <c r="D23" s="23" t="inlineStr">
        <is>
          <t>Finance</t>
        </is>
      </c>
      <c r="E23" s="1" t="n"/>
    </row>
    <row r="24" ht="28" customHeight="1">
      <c r="A24" s="1" t="n"/>
      <c r="B24" s="14" t="inlineStr">
        <is>
          <t>Job margin link</t>
        </is>
      </c>
      <c r="C24" s="80" t="inlineStr">
        <is>
          <t>Job margin detail mirrors Connect job P&amp;L concept (job | client | rev | cost | margin)</t>
        </is>
      </c>
      <c r="D24" s="81" t="inlineStr">
        <is>
          <t>Connect</t>
        </is>
      </c>
      <c r="E24" s="1" t="n"/>
    </row>
    <row r="25" ht="28" customHeight="1">
      <c r="A25" s="1" t="n"/>
      <c r="B25" s="14" t="inlineStr">
        <is>
          <t>Sample rows</t>
        </is>
      </c>
      <c r="C25" s="82" t="inlineStr">
        <is>
          <t>Marked SAMPLE — delete/replace before external MI circulation</t>
        </is>
      </c>
      <c r="D25" s="23" t="inlineStr">
        <is>
          <t>Prepared by</t>
        </is>
      </c>
      <c r="E25" s="1" t="n"/>
    </row>
    <row r="26" ht="28" customHeight="1">
      <c r="A26" s="1" t="n"/>
      <c r="B26" s="14" t="inlineStr">
        <is>
          <t>Classification</t>
        </is>
      </c>
      <c r="C26" s="80" t="inlineStr">
        <is>
          <t>CONFIDENTIAL — INTERNAL MI · Ryan-only external release</t>
        </is>
      </c>
      <c r="D26" s="81" t="inlineStr">
        <is>
          <t>MD</t>
        </is>
      </c>
      <c r="E26" s="1" t="n"/>
    </row>
    <row r="27" ht="28" customHeight="1">
      <c r="A27" s="1" t="n"/>
      <c r="B27" s="14" t="inlineStr">
        <is>
          <t>Statutory accounts</t>
        </is>
      </c>
      <c r="C27" s="82" t="inlineStr">
        <is>
          <t>Out of scope — engage accountant for Companies House / CT</t>
        </is>
      </c>
      <c r="D27" s="23" t="inlineStr">
        <is>
          <t>MD</t>
        </is>
      </c>
      <c r="E27" s="1" t="n"/>
    </row>
    <row r="28" ht="28" customHeight="1">
      <c r="A28" s="1" t="n"/>
      <c r="B28" s="14" t="inlineStr">
        <is>
          <t>Audit</t>
        </is>
      </c>
      <c r="C28" s="80" t="inlineStr">
        <is>
          <t>This pack is not audited and does not imply auditor opinion</t>
        </is>
      </c>
      <c r="D28" s="81" t="inlineStr">
        <is>
          <t>MD</t>
        </is>
      </c>
      <c r="E28" s="1" t="n"/>
    </row>
    <row r="29">
      <c r="A29" s="1" t="n"/>
      <c r="B29" s="1" t="n"/>
      <c r="C29" s="1" t="n"/>
      <c r="D29" s="1" t="n"/>
      <c r="E29" s="1" t="n"/>
    </row>
    <row r="30">
      <c r="A30" s="1" t="n"/>
      <c r="B30" s="1" t="n"/>
      <c r="C30" s="1" t="n"/>
      <c r="D30" s="1" t="n"/>
      <c r="E30" s="1" t="n"/>
    </row>
    <row r="31">
      <c r="A31" s="1" t="n"/>
      <c r="B31" s="12" t="inlineStr">
        <is>
          <t>RECIPIENT ACKNOWLEDGEMENT (optional)</t>
        </is>
      </c>
      <c r="C31" s="1" t="n"/>
      <c r="D31" s="1" t="n"/>
      <c r="E31" s="1" t="n"/>
    </row>
    <row r="32">
      <c r="A32" s="1" t="n"/>
      <c r="B32" s="5" t="n"/>
      <c r="C32" s="5" t="n"/>
      <c r="D32" s="5" t="n"/>
      <c r="E32" s="1" t="n"/>
    </row>
    <row r="33">
      <c r="A33" s="1" t="n"/>
      <c r="B33" s="83" t="inlineStr">
        <is>
          <t>I acknowledge this is confidential management information, not statutory accounts, and I will not circulate it beyond authorised persons or rely on SAMPLE figures for investment, credit, or regulatory purposes.
Name: ________________    Org: ________________    Date: ________    Sign: ________</t>
        </is>
      </c>
      <c r="C33" s="84" t="n"/>
      <c r="D33" s="84" t="n"/>
      <c r="E33" s="1" t="n"/>
    </row>
    <row r="34">
      <c r="A34" s="1" t="n"/>
      <c r="B34" s="84" t="n"/>
      <c r="C34" s="84" t="n"/>
      <c r="D34" s="84" t="n"/>
      <c r="E34" s="1" t="n"/>
    </row>
    <row r="35">
      <c r="A35" s="1" t="n"/>
      <c r="B35" s="84" t="n"/>
      <c r="C35" s="84" t="n"/>
      <c r="D35" s="84" t="n"/>
      <c r="E35" s="1" t="n"/>
    </row>
    <row r="36">
      <c r="A36" s="1" t="n"/>
      <c r="B36" s="1" t="n"/>
      <c r="C36" s="1" t="n"/>
      <c r="D36" s="1" t="n"/>
      <c r="E36" s="1" t="n"/>
    </row>
    <row r="37">
      <c r="A37" s="1" t="n"/>
      <c r="B37" s="1" t="n"/>
      <c r="C37" s="1" t="n"/>
      <c r="D37" s="1" t="n"/>
      <c r="E37" s="1" t="n"/>
    </row>
    <row r="38">
      <c r="A38" s="1" t="n"/>
      <c r="B38" s="1" t="n"/>
      <c r="C38" s="1" t="n"/>
      <c r="D38" s="1" t="n"/>
      <c r="E38" s="1" t="n"/>
    </row>
    <row r="39">
      <c r="A39" s="1" t="n"/>
      <c r="B39" s="1" t="n"/>
      <c r="C39" s="1" t="n"/>
      <c r="D39" s="1" t="n"/>
      <c r="E39" s="1" t="n"/>
    </row>
    <row r="40">
      <c r="A40" s="1" t="n"/>
      <c r="B40" s="1" t="n"/>
      <c r="C40" s="1" t="n"/>
      <c r="D40" s="1" t="n"/>
      <c r="E40" s="1" t="n"/>
    </row>
    <row r="41">
      <c r="A41" s="1" t="n"/>
      <c r="B41" s="1" t="n"/>
      <c r="C41" s="1" t="n"/>
      <c r="D41" s="1" t="n"/>
      <c r="E41" s="1" t="n"/>
    </row>
    <row r="42">
      <c r="A42" s="1" t="n"/>
      <c r="B42" s="1" t="n"/>
      <c r="C42" s="1" t="n"/>
      <c r="D42" s="1" t="n"/>
      <c r="E42" s="1" t="n"/>
    </row>
    <row r="43">
      <c r="A43" s="1" t="n"/>
      <c r="B43" s="1" t="n"/>
      <c r="C43" s="1" t="n"/>
      <c r="D43" s="1" t="n"/>
      <c r="E43" s="1" t="n"/>
    </row>
    <row r="44">
      <c r="A44" s="1" t="n"/>
      <c r="B44" s="1" t="n"/>
      <c r="C44" s="1" t="n"/>
      <c r="D44" s="1" t="n"/>
      <c r="E44" s="1" t="n"/>
    </row>
    <row r="45">
      <c r="A45" s="1" t="n"/>
      <c r="B45" s="1" t="n"/>
      <c r="C45" s="1" t="n"/>
      <c r="D45" s="1" t="n"/>
      <c r="E45" s="1" t="n"/>
    </row>
    <row r="46">
      <c r="A46" s="1" t="n"/>
      <c r="B46" s="1" t="n"/>
      <c r="C46" s="1" t="n"/>
      <c r="D46" s="1" t="n"/>
      <c r="E46" s="1" t="n"/>
    </row>
    <row r="47">
      <c r="A47" s="1" t="n"/>
      <c r="B47" s="1" t="n"/>
      <c r="C47" s="1" t="n"/>
      <c r="D47" s="1" t="n"/>
      <c r="E47" s="1" t="n"/>
    </row>
    <row r="48">
      <c r="A48" s="1" t="n"/>
      <c r="B48" s="1" t="n"/>
      <c r="C48" s="1" t="n"/>
      <c r="D48" s="1" t="n"/>
      <c r="E48" s="1" t="n"/>
    </row>
    <row r="49">
      <c r="A49" s="1" t="n"/>
      <c r="B49" s="1" t="n"/>
      <c r="C49" s="1" t="n"/>
      <c r="D49" s="1" t="n"/>
      <c r="E49" s="1" t="n"/>
    </row>
    <row r="50">
      <c r="A50" s="1" t="n"/>
      <c r="B50" s="1" t="n"/>
      <c r="C50" s="1" t="n"/>
      <c r="D50" s="1" t="n"/>
      <c r="E50" s="1" t="n"/>
    </row>
    <row r="51">
      <c r="A51" s="1" t="n"/>
      <c r="B51" s="1" t="n"/>
      <c r="C51" s="1" t="n"/>
      <c r="D51" s="1" t="n"/>
      <c r="E51" s="1" t="n"/>
    </row>
    <row r="52">
      <c r="A52" s="1" t="n"/>
      <c r="B52" s="1" t="n"/>
      <c r="C52" s="1" t="n"/>
      <c r="D52" s="1" t="n"/>
      <c r="E52" s="1" t="n"/>
    </row>
    <row r="53">
      <c r="A53" s="1" t="n"/>
      <c r="B53" s="1" t="n"/>
      <c r="C53" s="1" t="n"/>
      <c r="D53" s="1" t="n"/>
      <c r="E53" s="1" t="n"/>
    </row>
    <row r="54">
      <c r="A54" s="1" t="n"/>
      <c r="B54" s="1" t="n"/>
      <c r="C54" s="1" t="n"/>
      <c r="D54" s="1" t="n"/>
      <c r="E54" s="1" t="n"/>
    </row>
    <row r="55">
      <c r="A55" s="1" t="n"/>
      <c r="B55" s="1" t="n"/>
      <c r="C55" s="1" t="n"/>
      <c r="D55" s="1" t="n"/>
      <c r="E55" s="1" t="n"/>
    </row>
  </sheetData>
  <mergeCells count="4">
    <mergeCell ref="B6:D11"/>
    <mergeCell ref="B3:D3"/>
    <mergeCell ref="B2:D2"/>
    <mergeCell ref="B33:D35"/>
  </mergeCells>
  <pageMargins left="0.5" right="0.5" top="0.75" bottom="0.75" header="0.3" footer="0.3"/>
  <pageSetup orientation="portrait" paperSize="9" fitToHeight="0" fitToWidth="1"/>
  <headerFooter>
    <oddHeader>&amp;C&amp;"Calibri"&amp;9 Treun Roc Contracts  |  TR Connect  |  CONFIDENTIAL — INTERNAL MI</oddHeader>
    <oddFooter>&amp;LTreun Roc Contracts — Assumptions &amp; Disclaimer&amp;CCONFIDENTIAL&amp;RPage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H55"/>
  <sheetViews>
    <sheetView showGridLines="0" workbookViewId="0">
      <pane ySplit="5" topLeftCell="A6" activePane="bottomLeft" state="frozen"/>
      <selection pane="bottomLeft" activeCell="A1" sqref="A1"/>
    </sheetView>
  </sheetViews>
  <sheetFormatPr baseColWidth="8" defaultRowHeight="15"/>
  <cols>
    <col width="12" customWidth="1" min="1" max="1"/>
    <col width="18" customWidth="1" min="2" max="2"/>
    <col width="18" customWidth="1" min="3" max="3"/>
    <col width="22" customWidth="1" min="4" max="4"/>
    <col width="40" customWidth="1" min="5" max="5"/>
    <col width="14" customWidth="1" min="6" max="6"/>
    <col width="14" customWidth="1" min="7" max="7"/>
    <col width="22" customWidth="1" min="8" max="8"/>
  </cols>
  <sheetData>
    <row r="1">
      <c r="A1" s="20" t="inlineStr">
        <is>
          <t>AUDIT LOG  ·  Change control for Management P&amp;L MI</t>
        </is>
      </c>
    </row>
    <row r="2">
      <c r="A2" s="4" t="inlineStr">
        <is>
          <t>Record material changes to figures, assumptions, or external distribution before re-issue.</t>
        </is>
      </c>
    </row>
    <row r="3">
      <c r="A3" s="5" t="n"/>
      <c r="B3" s="5" t="n"/>
      <c r="C3" s="5" t="n"/>
      <c r="D3" s="5" t="n"/>
      <c r="E3" s="5" t="n"/>
      <c r="F3" s="5" t="n"/>
      <c r="G3" s="5" t="n"/>
      <c r="H3" s="5" t="n"/>
    </row>
    <row r="4">
      <c r="A4" s="1" t="n"/>
      <c r="B4" s="1" t="n"/>
      <c r="C4" s="1" t="n"/>
      <c r="D4" s="1" t="n"/>
      <c r="E4" s="1" t="n"/>
      <c r="F4" s="1" t="n"/>
      <c r="G4" s="1" t="n"/>
      <c r="H4" s="1" t="n"/>
    </row>
    <row r="5">
      <c r="A5" s="22" t="inlineStr">
        <is>
          <t>Date</t>
        </is>
      </c>
      <c r="B5" s="22" t="inlineStr">
        <is>
          <t>Changed by</t>
        </is>
      </c>
      <c r="C5" s="22" t="inlineStr">
        <is>
          <t>Sheet</t>
        </is>
      </c>
      <c r="D5" s="22" t="inlineStr">
        <is>
          <t>Section / Job</t>
        </is>
      </c>
      <c r="E5" s="22" t="inlineStr">
        <is>
          <t>Change description</t>
        </is>
      </c>
      <c r="F5" s="22" t="inlineStr">
        <is>
          <t>Before</t>
        </is>
      </c>
      <c r="G5" s="22" t="inlineStr">
        <is>
          <t>After</t>
        </is>
      </c>
      <c r="H5" s="22" t="inlineStr">
        <is>
          <t>External notified?</t>
        </is>
      </c>
    </row>
    <row r="6">
      <c r="A6" s="64" t="n">
        <v>46282</v>
      </c>
      <c r="B6" s="26" t="inlineStr">
        <is>
          <t>System / builder</t>
        </is>
      </c>
      <c r="C6" s="26" t="inlineStr">
        <is>
          <t>All</t>
        </is>
      </c>
      <c r="D6" s="26" t="inlineStr">
        <is>
          <t>Workbook v1</t>
        </is>
      </c>
      <c r="E6" s="26" t="inlineStr">
        <is>
          <t>Initial Management P&amp;L pack created with SAMPLE jobs/invoices/cash/VAT. Ryan-only external MI; NOT statutory/audited/CH/CT.</t>
        </is>
      </c>
      <c r="F6" s="26" t="inlineStr">
        <is>
          <t>—</t>
        </is>
      </c>
      <c r="G6" s="26" t="inlineStr">
        <is>
          <t>v1 issued</t>
        </is>
      </c>
      <c r="H6" s="26" t="inlineStr">
        <is>
          <t>Ryan review pending</t>
        </is>
      </c>
    </row>
    <row r="7">
      <c r="A7" s="70" t="n"/>
      <c r="B7" s="32" t="n"/>
      <c r="C7" s="32" t="n"/>
      <c r="D7" s="32" t="n"/>
      <c r="E7" s="32" t="n"/>
      <c r="F7" s="32" t="n"/>
      <c r="G7" s="32" t="n"/>
      <c r="H7" s="32" t="n"/>
    </row>
    <row r="8">
      <c r="A8" s="67" t="n"/>
      <c r="B8" s="30" t="n"/>
      <c r="C8" s="30" t="n"/>
      <c r="D8" s="30" t="n"/>
      <c r="E8" s="30" t="n"/>
      <c r="F8" s="30" t="n"/>
      <c r="G8" s="30" t="n"/>
      <c r="H8" s="30" t="n"/>
    </row>
    <row r="9">
      <c r="A9" s="70" t="n"/>
      <c r="B9" s="32" t="n"/>
      <c r="C9" s="32" t="n"/>
      <c r="D9" s="32" t="n"/>
      <c r="E9" s="32" t="n"/>
      <c r="F9" s="32" t="n"/>
      <c r="G9" s="32" t="n"/>
      <c r="H9" s="32" t="n"/>
    </row>
    <row r="10">
      <c r="A10" s="67" t="n"/>
      <c r="B10" s="30" t="n"/>
      <c r="C10" s="30" t="n"/>
      <c r="D10" s="30" t="n"/>
      <c r="E10" s="30" t="n"/>
      <c r="F10" s="30" t="n"/>
      <c r="G10" s="30" t="n"/>
      <c r="H10" s="30" t="n"/>
    </row>
    <row r="11">
      <c r="A11" s="70" t="n"/>
      <c r="B11" s="32" t="n"/>
      <c r="C11" s="32" t="n"/>
      <c r="D11" s="32" t="n"/>
      <c r="E11" s="32" t="n"/>
      <c r="F11" s="32" t="n"/>
      <c r="G11" s="32" t="n"/>
      <c r="H11" s="32" t="n"/>
    </row>
    <row r="12">
      <c r="A12" s="67" t="n"/>
      <c r="B12" s="30" t="n"/>
      <c r="C12" s="30" t="n"/>
      <c r="D12" s="30" t="n"/>
      <c r="E12" s="30" t="n"/>
      <c r="F12" s="30" t="n"/>
      <c r="G12" s="30" t="n"/>
      <c r="H12" s="30" t="n"/>
    </row>
    <row r="13">
      <c r="A13" s="70" t="n"/>
      <c r="B13" s="32" t="n"/>
      <c r="C13" s="32" t="n"/>
      <c r="D13" s="32" t="n"/>
      <c r="E13" s="32" t="n"/>
      <c r="F13" s="32" t="n"/>
      <c r="G13" s="32" t="n"/>
      <c r="H13" s="32" t="n"/>
    </row>
    <row r="14">
      <c r="A14" s="67" t="n"/>
      <c r="B14" s="30" t="n"/>
      <c r="C14" s="30" t="n"/>
      <c r="D14" s="30" t="n"/>
      <c r="E14" s="30" t="n"/>
      <c r="F14" s="30" t="n"/>
      <c r="G14" s="30" t="n"/>
      <c r="H14" s="30" t="n"/>
    </row>
    <row r="15">
      <c r="A15" s="70" t="n"/>
      <c r="B15" s="32" t="n"/>
      <c r="C15" s="32" t="n"/>
      <c r="D15" s="32" t="n"/>
      <c r="E15" s="32" t="n"/>
      <c r="F15" s="32" t="n"/>
      <c r="G15" s="32" t="n"/>
      <c r="H15" s="32" t="n"/>
    </row>
    <row r="16">
      <c r="A16" s="67" t="n"/>
      <c r="B16" s="30" t="n"/>
      <c r="C16" s="30" t="n"/>
      <c r="D16" s="30" t="n"/>
      <c r="E16" s="30" t="n"/>
      <c r="F16" s="30" t="n"/>
      <c r="G16" s="30" t="n"/>
      <c r="H16" s="30" t="n"/>
    </row>
    <row r="17">
      <c r="A17" s="70" t="n"/>
      <c r="B17" s="32" t="n"/>
      <c r="C17" s="32" t="n"/>
      <c r="D17" s="32" t="n"/>
      <c r="E17" s="32" t="n"/>
      <c r="F17" s="32" t="n"/>
      <c r="G17" s="32" t="n"/>
      <c r="H17" s="32" t="n"/>
    </row>
    <row r="18">
      <c r="A18" s="67" t="n"/>
      <c r="B18" s="30" t="n"/>
      <c r="C18" s="30" t="n"/>
      <c r="D18" s="30" t="n"/>
      <c r="E18" s="30" t="n"/>
      <c r="F18" s="30" t="n"/>
      <c r="G18" s="30" t="n"/>
      <c r="H18" s="30" t="n"/>
    </row>
    <row r="19">
      <c r="A19" s="70" t="n"/>
      <c r="B19" s="32" t="n"/>
      <c r="C19" s="32" t="n"/>
      <c r="D19" s="32" t="n"/>
      <c r="E19" s="32" t="n"/>
      <c r="F19" s="32" t="n"/>
      <c r="G19" s="32" t="n"/>
      <c r="H19" s="32" t="n"/>
    </row>
    <row r="20">
      <c r="A20" s="67" t="n"/>
      <c r="B20" s="30" t="n"/>
      <c r="C20" s="30" t="n"/>
      <c r="D20" s="30" t="n"/>
      <c r="E20" s="30" t="n"/>
      <c r="F20" s="30" t="n"/>
      <c r="G20" s="30" t="n"/>
      <c r="H20" s="30" t="n"/>
    </row>
    <row r="21">
      <c r="A21" s="70" t="n"/>
      <c r="B21" s="32" t="n"/>
      <c r="C21" s="32" t="n"/>
      <c r="D21" s="32" t="n"/>
      <c r="E21" s="32" t="n"/>
      <c r="F21" s="32" t="n"/>
      <c r="G21" s="32" t="n"/>
      <c r="H21" s="32" t="n"/>
    </row>
    <row r="22">
      <c r="A22" s="67" t="n"/>
      <c r="B22" s="30" t="n"/>
      <c r="C22" s="30" t="n"/>
      <c r="D22" s="30" t="n"/>
      <c r="E22" s="30" t="n"/>
      <c r="F22" s="30" t="n"/>
      <c r="G22" s="30" t="n"/>
      <c r="H22" s="30" t="n"/>
    </row>
    <row r="23">
      <c r="A23" s="70" t="n"/>
      <c r="B23" s="32" t="n"/>
      <c r="C23" s="32" t="n"/>
      <c r="D23" s="32" t="n"/>
      <c r="E23" s="32" t="n"/>
      <c r="F23" s="32" t="n"/>
      <c r="G23" s="32" t="n"/>
      <c r="H23" s="32" t="n"/>
    </row>
    <row r="24">
      <c r="A24" s="67" t="n"/>
      <c r="B24" s="30" t="n"/>
      <c r="C24" s="30" t="n"/>
      <c r="D24" s="30" t="n"/>
      <c r="E24" s="30" t="n"/>
      <c r="F24" s="30" t="n"/>
      <c r="G24" s="30" t="n"/>
      <c r="H24" s="30" t="n"/>
    </row>
    <row r="25">
      <c r="A25" s="70" t="n"/>
      <c r="B25" s="32" t="n"/>
      <c r="C25" s="32" t="n"/>
      <c r="D25" s="32" t="n"/>
      <c r="E25" s="32" t="n"/>
      <c r="F25" s="32" t="n"/>
      <c r="G25" s="32" t="n"/>
      <c r="H25" s="32" t="n"/>
    </row>
    <row r="26">
      <c r="A26" s="67" t="n"/>
      <c r="B26" s="30" t="n"/>
      <c r="C26" s="30" t="n"/>
      <c r="D26" s="30" t="n"/>
      <c r="E26" s="30" t="n"/>
      <c r="F26" s="30" t="n"/>
      <c r="G26" s="30" t="n"/>
      <c r="H26" s="30" t="n"/>
    </row>
    <row r="27">
      <c r="A27" s="70" t="n"/>
      <c r="B27" s="32" t="n"/>
      <c r="C27" s="32" t="n"/>
      <c r="D27" s="32" t="n"/>
      <c r="E27" s="32" t="n"/>
      <c r="F27" s="32" t="n"/>
      <c r="G27" s="32" t="n"/>
      <c r="H27" s="32" t="n"/>
    </row>
    <row r="28">
      <c r="A28" s="67" t="n"/>
      <c r="B28" s="30" t="n"/>
      <c r="C28" s="30" t="n"/>
      <c r="D28" s="30" t="n"/>
      <c r="E28" s="30" t="n"/>
      <c r="F28" s="30" t="n"/>
      <c r="G28" s="30" t="n"/>
      <c r="H28" s="30" t="n"/>
    </row>
    <row r="29">
      <c r="A29" s="70" t="n"/>
      <c r="B29" s="32" t="n"/>
      <c r="C29" s="32" t="n"/>
      <c r="D29" s="32" t="n"/>
      <c r="E29" s="32" t="n"/>
      <c r="F29" s="32" t="n"/>
      <c r="G29" s="32" t="n"/>
      <c r="H29" s="32" t="n"/>
    </row>
    <row r="30">
      <c r="A30" s="67" t="n"/>
      <c r="B30" s="30" t="n"/>
      <c r="C30" s="30" t="n"/>
      <c r="D30" s="30" t="n"/>
      <c r="E30" s="30" t="n"/>
      <c r="F30" s="30" t="n"/>
      <c r="G30" s="30" t="n"/>
      <c r="H30" s="30" t="n"/>
    </row>
    <row r="31">
      <c r="A31" s="70" t="n"/>
      <c r="B31" s="32" t="n"/>
      <c r="C31" s="32" t="n"/>
      <c r="D31" s="32" t="n"/>
      <c r="E31" s="32" t="n"/>
      <c r="F31" s="32" t="n"/>
      <c r="G31" s="32" t="n"/>
      <c r="H31" s="32" t="n"/>
    </row>
    <row r="32">
      <c r="A32" s="67" t="n"/>
      <c r="B32" s="30" t="n"/>
      <c r="C32" s="30" t="n"/>
      <c r="D32" s="30" t="n"/>
      <c r="E32" s="30" t="n"/>
      <c r="F32" s="30" t="n"/>
      <c r="G32" s="30" t="n"/>
      <c r="H32" s="30" t="n"/>
    </row>
    <row r="33">
      <c r="A33" s="70" t="n"/>
      <c r="B33" s="32" t="n"/>
      <c r="C33" s="32" t="n"/>
      <c r="D33" s="32" t="n"/>
      <c r="E33" s="32" t="n"/>
      <c r="F33" s="32" t="n"/>
      <c r="G33" s="32" t="n"/>
      <c r="H33" s="32" t="n"/>
    </row>
    <row r="34">
      <c r="A34" s="67" t="n"/>
      <c r="B34" s="30" t="n"/>
      <c r="C34" s="30" t="n"/>
      <c r="D34" s="30" t="n"/>
      <c r="E34" s="30" t="n"/>
      <c r="F34" s="30" t="n"/>
      <c r="G34" s="30" t="n"/>
      <c r="H34" s="30" t="n"/>
    </row>
    <row r="35">
      <c r="A35" s="70" t="n"/>
      <c r="B35" s="32" t="n"/>
      <c r="C35" s="32" t="n"/>
      <c r="D35" s="32" t="n"/>
      <c r="E35" s="32" t="n"/>
      <c r="F35" s="32" t="n"/>
      <c r="G35" s="32" t="n"/>
      <c r="H35" s="32" t="n"/>
    </row>
    <row r="36">
      <c r="A36" s="67" t="n"/>
      <c r="B36" s="30" t="n"/>
      <c r="C36" s="30" t="n"/>
      <c r="D36" s="30" t="n"/>
      <c r="E36" s="30" t="n"/>
      <c r="F36" s="30" t="n"/>
      <c r="G36" s="30" t="n"/>
      <c r="H36" s="30" t="n"/>
    </row>
    <row r="37">
      <c r="A37" s="70" t="n"/>
      <c r="B37" s="32" t="n"/>
      <c r="C37" s="32" t="n"/>
      <c r="D37" s="32" t="n"/>
      <c r="E37" s="32" t="n"/>
      <c r="F37" s="32" t="n"/>
      <c r="G37" s="32" t="n"/>
      <c r="H37" s="32" t="n"/>
    </row>
    <row r="38">
      <c r="A38" s="67" t="n"/>
      <c r="B38" s="30" t="n"/>
      <c r="C38" s="30" t="n"/>
      <c r="D38" s="30" t="n"/>
      <c r="E38" s="30" t="n"/>
      <c r="F38" s="30" t="n"/>
      <c r="G38" s="30" t="n"/>
      <c r="H38" s="30" t="n"/>
    </row>
    <row r="39">
      <c r="A39" s="70" t="n"/>
      <c r="B39" s="32" t="n"/>
      <c r="C39" s="32" t="n"/>
      <c r="D39" s="32" t="n"/>
      <c r="E39" s="32" t="n"/>
      <c r="F39" s="32" t="n"/>
      <c r="G39" s="32" t="n"/>
      <c r="H39" s="32" t="n"/>
    </row>
    <row r="40">
      <c r="A40" s="67" t="n"/>
      <c r="B40" s="30" t="n"/>
      <c r="C40" s="30" t="n"/>
      <c r="D40" s="30" t="n"/>
      <c r="E40" s="30" t="n"/>
      <c r="F40" s="30" t="n"/>
      <c r="G40" s="30" t="n"/>
      <c r="H40" s="30" t="n"/>
    </row>
    <row r="41">
      <c r="A41" s="70" t="n"/>
      <c r="B41" s="32" t="n"/>
      <c r="C41" s="32" t="n"/>
      <c r="D41" s="32" t="n"/>
      <c r="E41" s="32" t="n"/>
      <c r="F41" s="32" t="n"/>
      <c r="G41" s="32" t="n"/>
      <c r="H41" s="32" t="n"/>
    </row>
    <row r="42">
      <c r="A42" s="67" t="n"/>
      <c r="B42" s="30" t="n"/>
      <c r="C42" s="30" t="n"/>
      <c r="D42" s="30" t="n"/>
      <c r="E42" s="30" t="n"/>
      <c r="F42" s="30" t="n"/>
      <c r="G42" s="30" t="n"/>
      <c r="H42" s="30" t="n"/>
    </row>
    <row r="43">
      <c r="A43" s="70" t="n"/>
      <c r="B43" s="32" t="n"/>
      <c r="C43" s="32" t="n"/>
      <c r="D43" s="32" t="n"/>
      <c r="E43" s="32" t="n"/>
      <c r="F43" s="32" t="n"/>
      <c r="G43" s="32" t="n"/>
      <c r="H43" s="32" t="n"/>
    </row>
    <row r="44">
      <c r="A44" s="67" t="n"/>
      <c r="B44" s="30" t="n"/>
      <c r="C44" s="30" t="n"/>
      <c r="D44" s="30" t="n"/>
      <c r="E44" s="30" t="n"/>
      <c r="F44" s="30" t="n"/>
      <c r="G44" s="30" t="n"/>
      <c r="H44" s="30" t="n"/>
    </row>
    <row r="45">
      <c r="A45" s="70" t="n"/>
      <c r="B45" s="32" t="n"/>
      <c r="C45" s="32" t="n"/>
      <c r="D45" s="32" t="n"/>
      <c r="E45" s="32" t="n"/>
      <c r="F45" s="32" t="n"/>
      <c r="G45" s="32" t="n"/>
      <c r="H45" s="32" t="n"/>
    </row>
    <row r="46">
      <c r="A46" s="67" t="n"/>
      <c r="B46" s="30" t="n"/>
      <c r="C46" s="30" t="n"/>
      <c r="D46" s="30" t="n"/>
      <c r="E46" s="30" t="n"/>
      <c r="F46" s="30" t="n"/>
      <c r="G46" s="30" t="n"/>
      <c r="H46" s="30" t="n"/>
    </row>
    <row r="47">
      <c r="A47" s="70" t="n"/>
      <c r="B47" s="32" t="n"/>
      <c r="C47" s="32" t="n"/>
      <c r="D47" s="32" t="n"/>
      <c r="E47" s="32" t="n"/>
      <c r="F47" s="32" t="n"/>
      <c r="G47" s="32" t="n"/>
      <c r="H47" s="32" t="n"/>
    </row>
    <row r="48">
      <c r="A48" s="67" t="n"/>
      <c r="B48" s="30" t="n"/>
      <c r="C48" s="30" t="n"/>
      <c r="D48" s="30" t="n"/>
      <c r="E48" s="30" t="n"/>
      <c r="F48" s="30" t="n"/>
      <c r="G48" s="30" t="n"/>
      <c r="H48" s="30" t="n"/>
    </row>
    <row r="49">
      <c r="A49" s="70" t="n"/>
      <c r="B49" s="32" t="n"/>
      <c r="C49" s="32" t="n"/>
      <c r="D49" s="32" t="n"/>
      <c r="E49" s="32" t="n"/>
      <c r="F49" s="32" t="n"/>
      <c r="G49" s="32" t="n"/>
      <c r="H49" s="32" t="n"/>
    </row>
    <row r="50">
      <c r="A50" s="67" t="n"/>
      <c r="B50" s="30" t="n"/>
      <c r="C50" s="30" t="n"/>
      <c r="D50" s="30" t="n"/>
      <c r="E50" s="30" t="n"/>
      <c r="F50" s="30" t="n"/>
      <c r="G50" s="30" t="n"/>
      <c r="H50" s="30" t="n"/>
    </row>
    <row r="51">
      <c r="A51" s="70" t="n"/>
      <c r="B51" s="32" t="n"/>
      <c r="C51" s="32" t="n"/>
      <c r="D51" s="32" t="n"/>
      <c r="E51" s="32" t="n"/>
      <c r="F51" s="32" t="n"/>
      <c r="G51" s="32" t="n"/>
      <c r="H51" s="32" t="n"/>
    </row>
    <row r="52">
      <c r="A52" s="67" t="n"/>
      <c r="B52" s="30" t="n"/>
      <c r="C52" s="30" t="n"/>
      <c r="D52" s="30" t="n"/>
      <c r="E52" s="30" t="n"/>
      <c r="F52" s="30" t="n"/>
      <c r="G52" s="30" t="n"/>
      <c r="H52" s="30" t="n"/>
    </row>
    <row r="53">
      <c r="A53" s="70" t="n"/>
      <c r="B53" s="32" t="n"/>
      <c r="C53" s="32" t="n"/>
      <c r="D53" s="32" t="n"/>
      <c r="E53" s="32" t="n"/>
      <c r="F53" s="32" t="n"/>
      <c r="G53" s="32" t="n"/>
      <c r="H53" s="32" t="n"/>
    </row>
    <row r="54">
      <c r="A54" s="67" t="n"/>
      <c r="B54" s="30" t="n"/>
      <c r="C54" s="30" t="n"/>
      <c r="D54" s="30" t="n"/>
      <c r="E54" s="30" t="n"/>
      <c r="F54" s="30" t="n"/>
      <c r="G54" s="30" t="n"/>
      <c r="H54" s="30" t="n"/>
    </row>
    <row r="55">
      <c r="A55" s="70" t="n"/>
      <c r="B55" s="32" t="n"/>
      <c r="C55" s="32" t="n"/>
      <c r="D55" s="32" t="n"/>
      <c r="E55" s="32" t="n"/>
      <c r="F55" s="32" t="n"/>
      <c r="G55" s="32" t="n"/>
      <c r="H55" s="32" t="n"/>
    </row>
  </sheetData>
  <autoFilter ref="A5:H55"/>
  <mergeCells count="2">
    <mergeCell ref="A2:H2"/>
    <mergeCell ref="A1:H1"/>
  </mergeCells>
  <pageMargins left="0.5" right="0.5" top="0.75" bottom="0.75" header="0.3" footer="0.3"/>
  <pageSetup orientation="landscape" paperSize="9" fitToHeight="0" fitToWidth="1"/>
  <headerFooter>
    <oddHeader>&amp;C&amp;"Calibri"&amp;9 Treun Roc Contracts  |  TR Connect  |  CONFIDENTIAL — INTERNAL MI</oddHeader>
    <oddFooter>&amp;LTreun Roc Contracts — Audit Log&amp;CCONFIDENTIAL&amp;RPage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Treun Roc Contracts / TR Connect</dc:creator>
  <dc:title>TR Connect — Management Profit &amp; Loss</dc:title>
  <dc:description>Management P&amp;L pack for Ryan-only external MI. NOT for Companies House or CT filing. Generated 2026-09-17 18:39 BST.</dc:description>
  <dc:subject>CONFIDENTIAL — INTERNAL MI · NOT statutory / NOT audited</dc:subject>
  <dcterms:created xsi:type="dcterms:W3CDTF">2026-09-17T17:39:59Z</dcterms:created>
  <dcterms:modified xsi:type="dcterms:W3CDTF">2026-09-17T17:39:59Z</dcterms:modified>
  <cp:keywords>Treun Roc, TR Connect, Management P&amp;L, confidential, MI, not statutory</cp:keywords>
</cp:coreProperties>
</file>